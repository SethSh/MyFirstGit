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O:\PARAM\PROJECTS\BEX\API UIs\"/>
    </mc:Choice>
  </mc:AlternateContent>
  <xr:revisionPtr revIDLastSave="0" documentId="13_ncr:1_{362F2B53-F5AA-45D1-938D-900071771283}" xr6:coauthVersionLast="46" xr6:coauthVersionMax="46" xr10:uidLastSave="{00000000-0000-0000-0000-000000000000}"/>
  <bookViews>
    <workbookView xWindow="-120" yWindow="-120" windowWidth="29040" windowHeight="15840" tabRatio="434" activeTab="1" xr2:uid="{00000000-000D-0000-FFFF-FFFF00000000}"/>
  </bookViews>
  <sheets>
    <sheet name="Trend" sheetId="7" r:id="rId1"/>
    <sheet name="MarginStuff" sheetId="8" r:id="rId2"/>
  </sheets>
  <functionGroups builtInGroupCount="19"/>
  <definedNames>
    <definedName name="apiEnvironment">MarginStuff!$B$2</definedName>
    <definedName name="baseUrl">MarginStuff!$C$4</definedName>
    <definedName name="categories">MarginStuff!$H$4:$I$85</definedName>
    <definedName name="categoriesUrl">MarginStuff!$C$6</definedName>
    <definedName name="categoriesWithId">MarginStuff!$H$4:$J$204</definedName>
    <definedName name="category">Trend!$C$11</definedName>
    <definedName name="devBaseUrl">MarginStuff!$C$15</definedName>
    <definedName name="devSecretWord">MarginStuff!$C$17</definedName>
    <definedName name="devTokenUrl">MarginStuff!$C$16</definedName>
    <definedName name="factorsUrl">MarginStuff!$C$7</definedName>
    <definedName name="IQ_CH">110000</definedName>
    <definedName name="IQ_CQ">5000</definedName>
    <definedName name="IQ_CY">10000</definedName>
    <definedName name="IQ_DAILY">500000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NTM">6000</definedName>
    <definedName name="IQ_TODAY">0</definedName>
    <definedName name="IQ_WEEK">50000</definedName>
    <definedName name="IQ_YTD">3000</definedName>
    <definedName name="IQ_YTDMONTH">130000</definedName>
    <definedName name="keyDataTimeOutSeconds">MarginStuff!$C$9</definedName>
    <definedName name="prodBaseUrl">MarginStuff!$C$27</definedName>
    <definedName name="prodSecretWord">MarginStuff!$C$29</definedName>
    <definedName name="prodTokenUrl">MarginStuff!$C$28</definedName>
    <definedName name="result">Trend!$C$13:$D$44</definedName>
    <definedName name="secretWord">MarginStuff!$C$8</definedName>
    <definedName name="selectedCategory">MarginStuff!$C$10</definedName>
    <definedName name="status">Trend!$G$4</definedName>
    <definedName name="timeStamp">Trend!$G$5</definedName>
    <definedName name="tokenUrl">MarginStuff!$C$5</definedName>
    <definedName name="trendType">Trend!$D$4</definedName>
    <definedName name="trendTypes">MarginStuff!$E$4:$E$6</definedName>
    <definedName name="uatBaseUrl">MarginStuff!$C$21</definedName>
    <definedName name="uatSecretWord">MarginStuff!$C$23</definedName>
    <definedName name="uatTokenUrl">MarginStuff!$C$22</definedName>
    <definedName name="versionDate">Trend!$D$5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 i="8" l="1"/>
  <c r="C8" i="8" a="1"/>
  <c r="C8" i="8" s="1"/>
  <c r="C5" i="8" a="1"/>
  <c r="C5" i="8" s="1"/>
  <c r="C4" i="8" a="1"/>
  <c r="C4" i="8" s="1"/>
  <c r="F7" i="8" l="1"/>
  <c r="C6" i="8" s="1"/>
  <c r="F6" i="8"/>
  <c r="F5" i="8"/>
  <c r="F4"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<sst xmlns="http://schemas.openxmlformats.org/spreadsheetml/2006/main" count="363" uniqueCount="135">
  <si>
    <t>Exposure Trend</t>
  </si>
  <si>
    <t>Frequency Trend</t>
  </si>
  <si>
    <t>Severity Trend</t>
  </si>
  <si>
    <t>CA</t>
  </si>
  <si>
    <t>Secret Word</t>
  </si>
  <si>
    <t>"92f67959-43eb-4a1d-9c61-aea7fedfacdb"</t>
  </si>
  <si>
    <t>Token</t>
  </si>
  <si>
    <t>Accountants Liability</t>
  </si>
  <si>
    <t>Architects &amp; Engineers</t>
  </si>
  <si>
    <t>Physical Damage</t>
  </si>
  <si>
    <t>Commercial Auto Physical Damage</t>
  </si>
  <si>
    <t>Commercial Property</t>
  </si>
  <si>
    <t>Fidelity</t>
  </si>
  <si>
    <t>General Liability</t>
  </si>
  <si>
    <t>Premises / Operations</t>
  </si>
  <si>
    <t>Products Liability</t>
  </si>
  <si>
    <t>AK</t>
  </si>
  <si>
    <t>AL</t>
  </si>
  <si>
    <t>AR</t>
  </si>
  <si>
    <t>AZ</t>
  </si>
  <si>
    <t>CO</t>
  </si>
  <si>
    <t>CT</t>
  </si>
  <si>
    <t>CW</t>
  </si>
  <si>
    <t>DC</t>
  </si>
  <si>
    <t>DE</t>
  </si>
  <si>
    <t>FL</t>
  </si>
  <si>
    <t>GA</t>
  </si>
  <si>
    <t>HI</t>
  </si>
  <si>
    <t>IA</t>
  </si>
  <si>
    <t>ID</t>
  </si>
  <si>
    <t>IL</t>
  </si>
  <si>
    <t>IN</t>
  </si>
  <si>
    <t>KS</t>
  </si>
  <si>
    <t>KY</t>
  </si>
  <si>
    <t>LA</t>
  </si>
  <si>
    <t>MA</t>
  </si>
  <si>
    <t>Status</t>
  </si>
  <si>
    <t>Timeout In Seconds</t>
  </si>
  <si>
    <t>Type</t>
  </si>
  <si>
    <t>Year</t>
  </si>
  <si>
    <t>Factor</t>
  </si>
  <si>
    <t>Success</t>
  </si>
  <si>
    <t>Pricing Key Data - Trend</t>
  </si>
  <si>
    <t>Time stamp</t>
  </si>
  <si>
    <t>URL Factors</t>
  </si>
  <si>
    <t>URL Categories</t>
  </si>
  <si>
    <t>Selected Category</t>
  </si>
  <si>
    <t>Version Date</t>
  </si>
  <si>
    <t>Ocean Marine - Energy</t>
  </si>
  <si>
    <t>Ocean Marine - Hull / Fishing / Craft</t>
  </si>
  <si>
    <t>Bluewater</t>
  </si>
  <si>
    <t>Non Bluewater</t>
  </si>
  <si>
    <t>Personal Auto Physical Damage</t>
  </si>
  <si>
    <t>Personal Property</t>
  </si>
  <si>
    <t>Political Risk</t>
  </si>
  <si>
    <t>Surety</t>
  </si>
  <si>
    <t>Commercial</t>
  </si>
  <si>
    <t>Contract</t>
  </si>
  <si>
    <t>Trade Credit</t>
  </si>
  <si>
    <t>Unity</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</si>
  <si>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</si>
  <si>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</si>
  <si>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</si>
  <si>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</si>
  <si>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</si>
  <si>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</si>
  <si>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</si>
  <si>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</si>
  <si>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</si>
  <si>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</si>
  <si>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</si>
  <si>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</si>
  <si>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</si>
  <si>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</si>
  <si>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</si>
  <si>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</si>
  <si>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</si>
  <si>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</si>
  <si>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</si>
  <si>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</si>
  <si>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</si>
  <si>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</si>
  <si>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</si>
  <si>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</si>
  <si>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</si>
  <si>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</si>
  <si>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</si>
  <si>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</si>
  <si>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</si>
  <si>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</si>
  <si>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</si>
  <si>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Seth's DEV Machine</t>
  </si>
  <si>
    <t>BaseUrl</t>
  </si>
  <si>
    <t>UAT</t>
  </si>
  <si>
    <t>"b1079652-d11b-493a-a1e9-08778c7028ed"</t>
  </si>
  <si>
    <t>USLH</t>
  </si>
  <si>
    <t>Ocean Marine - Cargo</t>
  </si>
  <si>
    <t>https://mmdevu106.am.munichre.com</t>
  </si>
  <si>
    <t>https://uwpfapidev.munich.munichre.com:21888</t>
  </si>
  <si>
    <t>https://uwpfapidev-1.munichre.com:4888</t>
  </si>
  <si>
    <t>PROD</t>
  </si>
  <si>
    <t>https://mrameu1-w00009.am.munichre.com</t>
  </si>
  <si>
    <t>https://uwpfapi.munich.munichre.com:8888</t>
  </si>
  <si>
    <t>"969d2a61-7e1e-44ee-acee-3f3a2ef66231"</t>
  </si>
  <si>
    <t>DEV</t>
  </si>
  <si>
    <t>Attorneys Liability - Large Firms</t>
  </si>
  <si>
    <t>Attorneys Liability - Small Firms</t>
  </si>
  <si>
    <t>Commercial Auto Liability</t>
  </si>
  <si>
    <t>Bodily Injury</t>
  </si>
  <si>
    <t>Property Damage</t>
  </si>
  <si>
    <t>Commercial Inland Marine</t>
  </si>
  <si>
    <t>D&amp;O Non Profit</t>
  </si>
  <si>
    <t>D&amp;O Security Class Action</t>
  </si>
  <si>
    <t>Directors &amp; Officers</t>
  </si>
  <si>
    <t>Employment Practices Liability</t>
  </si>
  <si>
    <t>Completed Ops BI</t>
  </si>
  <si>
    <t>Completed Ops PD</t>
  </si>
  <si>
    <t>M&amp;C BI</t>
  </si>
  <si>
    <t>M&amp;C PD</t>
  </si>
  <si>
    <t>OL&amp;T BI</t>
  </si>
  <si>
    <t>OL&amp;T PD</t>
  </si>
  <si>
    <t>Prem/Ops BI</t>
  </si>
  <si>
    <t>Prem/Ops PD</t>
  </si>
  <si>
    <t>Products BI</t>
  </si>
  <si>
    <t>Products PD</t>
  </si>
  <si>
    <t>Hospitals</t>
  </si>
  <si>
    <t>Nursing Homes</t>
  </si>
  <si>
    <t>Ocean Marine - Liability</t>
  </si>
  <si>
    <t>Personal Auto Liability</t>
  </si>
  <si>
    <t>Physicians &amp; Surgeons</t>
  </si>
  <si>
    <t>Professional Liability Misc</t>
  </si>
  <si>
    <t>Workers Comp - Indemnity</t>
  </si>
  <si>
    <t>Workers Comp - Medical</t>
  </si>
  <si>
    <t>Commercial Auto Liability, Bodily Injury</t>
  </si>
  <si>
    <t>https://mrameu1-w00008.am.munichre.com/uat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</si>
</sst>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 AM/PM"/>
    <numFmt numFmtId="165" formatCode="0.000"/>
  </numFmts>
  <fonts count="5" x14ac:knownFonts="1">
    <font>
      <sz val="11"/>
      <color theme="1"/>
      <name val="Calibri"/>
      <family val="2"/>
      <scheme val="minor"/>
    </font>
    <font>
      <sz val="11"/>
      <color rgb="FFFFFFFF"/>
      <name val="Calibri"/>
      <family val="2"/>
    </font>
    <font>
      <sz val="9"/>
      <color theme="1"/>
      <name val="Calibri"/>
      <family val="2"/>
      <scheme val="minor"/>
    </font>
    <font>
      <b/>
      <sz val="11"/>
      <color theme="1"/>
      <name val="Calibri"/>
      <family val="2"/>
      <scheme val="minor"/>
    </font>
    <font>
      <sz val="9"/>
      <color rgb="FFFF0000"/>
      <name val="Courier New"/>
      <family val="3"/>
    </font>
  </fonts>
  <fills count="9">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007F92"/>
      </patternFill>
    </fill>
    <fill>
      <patternFill patternType="solid">
        <fgColor rgb="FFFFCC99"/>
        <bgColor indexed="64"/>
      </patternFill>
    </fill>
    <fill>
      <patternFill patternType="solid">
        <fgColor theme="8" tint="0.59999389629810485"/>
        <bgColor indexed="64"/>
      </patternFill>
    </fill>
    <fill>
      <patternFill patternType="solid">
        <fgColor rgb="FFD9D9D9"/>
        <bgColor indexed="64"/>
      </patternFill>
    </fill>
  </fills>
  <borders count="1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auto="1"/>
      </left>
      <right/>
      <top style="thick">
        <color auto="1"/>
      </top>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50">
    <xf numFmtId="0" fontId="0" fillId="0" borderId="0" xfId="0"/>
    <xf numFmtId="0" fontId="0" fillId="0" borderId="0" xfId="0" quotePrefix="1" applyAlignment="1">
      <alignment horizontal="left"/>
    </xf>
    <xf numFmtId="0" fontId="0" fillId="3" borderId="1" xfId="0" applyFill="1" applyBorder="1"/>
    <xf numFmtId="0" fontId="0" fillId="0" borderId="3" xfId="0" applyBorder="1"/>
    <xf numFmtId="0" fontId="0" fillId="3" borderId="4" xfId="0" applyFill="1" applyBorder="1"/>
    <xf numFmtId="0" fontId="0" fillId="0" borderId="5" xfId="0" applyBorder="1"/>
    <xf numFmtId="0" fontId="0" fillId="3" borderId="6" xfId="0" applyFill="1" applyBorder="1"/>
    <xf numFmtId="0" fontId="0" fillId="0" borderId="8" xfId="0" applyBorder="1"/>
    <xf numFmtId="49" fontId="1" fillId="5" borderId="0" xfId="0" applyNumberFormat="1" applyFont="1" applyFill="1" applyAlignment="1">
      <alignment horizontal="center" wrapText="1"/>
    </xf>
    <xf numFmtId="49" fontId="1" fillId="5" borderId="9" xfId="0" quotePrefix="1" applyNumberFormat="1" applyFont="1" applyFill="1" applyBorder="1" applyAlignment="1">
      <alignment horizontal="centerContinuous"/>
    </xf>
    <xf numFmtId="0" fontId="0" fillId="0" borderId="10" xfId="0" applyBorder="1"/>
    <xf numFmtId="49" fontId="1" fillId="5" borderId="11" xfId="0" quotePrefix="1" applyNumberFormat="1" applyFont="1" applyFill="1" applyBorder="1" applyAlignment="1">
      <alignment horizontal="centerContinuous"/>
    </xf>
    <xf numFmtId="49" fontId="1" fillId="5" borderId="12" xfId="0" quotePrefix="1" applyNumberFormat="1" applyFont="1" applyFill="1" applyBorder="1" applyAlignment="1">
      <alignment horizontal="centerContinuous"/>
    </xf>
    <xf numFmtId="0" fontId="0" fillId="0" borderId="13" xfId="0" applyBorder="1"/>
    <xf numFmtId="0" fontId="0" fillId="0" borderId="13" xfId="0" applyBorder="1" applyAlignment="1">
      <alignment horizontal="left"/>
    </xf>
    <xf numFmtId="2" fontId="0" fillId="0" borderId="13" xfId="0" applyNumberFormat="1" applyBorder="1" applyAlignment="1">
      <alignment horizontal="left"/>
    </xf>
    <xf numFmtId="164" fontId="0" fillId="0" borderId="13" xfId="0" applyNumberFormat="1" applyBorder="1" applyAlignment="1">
      <alignment horizontal="left"/>
    </xf>
    <xf numFmtId="49" fontId="1" fillId="5" borderId="2" xfId="0" quotePrefix="1" applyNumberFormat="1" applyFont="1" applyFill="1" applyBorder="1" applyAlignment="1">
      <alignment horizontal="centerContinuous"/>
    </xf>
    <xf numFmtId="0" fontId="0" fillId="4" borderId="15" xfId="0" applyFill="1" applyBorder="1"/>
    <xf numFmtId="164" fontId="0" fillId="4" borderId="14" xfId="0" applyNumberFormat="1" applyFill="1" applyBorder="1" applyAlignment="1">
      <alignment horizontal="left"/>
    </xf>
    <xf numFmtId="0" fontId="0" fillId="8" borderId="5" xfId="0" applyFill="1" applyBorder="1"/>
    <xf numFmtId="0" fontId="0" fillId="8" borderId="8" xfId="0" applyFill="1" applyBorder="1"/>
    <xf numFmtId="0" fontId="0" fillId="6" borderId="15" xfId="0" applyFill="1" applyBorder="1" applyAlignment="1">
      <alignment horizontal="right"/>
    </xf>
    <xf numFmtId="14" fontId="0" fillId="7" borderId="14" xfId="0" applyNumberFormat="1" applyFill="1" applyBorder="1" applyAlignment="1">
      <alignment horizontal="right"/>
    </xf>
    <xf numFmtId="0" fontId="0" fillId="8" borderId="0" xfId="0" applyFill="1" applyBorder="1"/>
    <xf numFmtId="0" fontId="0" fillId="8" borderId="7" xfId="0" applyFill="1" applyBorder="1"/>
    <xf numFmtId="0" fontId="0" fillId="8" borderId="4" xfId="0" applyFill="1" applyBorder="1"/>
    <xf numFmtId="0" fontId="0" fillId="8" borderId="6" xfId="0" applyFill="1" applyBorder="1"/>
    <xf numFmtId="0" fontId="2" fillId="2" borderId="0" xfId="0" quotePrefix="1" applyFont="1" applyFill="1" applyAlignment="1">
      <alignment horizontal="left"/>
    </xf>
    <xf numFmtId="0" fontId="0" fillId="8" borderId="1" xfId="0" applyFill="1" applyBorder="1"/>
    <xf numFmtId="0" fontId="0" fillId="8" borderId="3" xfId="0" applyFill="1" applyBorder="1"/>
    <xf numFmtId="1" fontId="0" fillId="8" borderId="1" xfId="0" applyNumberFormat="1" applyFill="1" applyBorder="1" applyAlignment="1">
      <alignment horizontal="center"/>
    </xf>
    <xf numFmtId="1" fontId="0" fillId="8" borderId="4" xfId="0" applyNumberFormat="1" applyFill="1" applyBorder="1" applyAlignment="1">
      <alignment horizontal="center"/>
    </xf>
    <xf numFmtId="1" fontId="0" fillId="8" borderId="6" xfId="0" applyNumberFormat="1" applyFill="1" applyBorder="1" applyAlignment="1">
      <alignment horizontal="center"/>
    </xf>
    <xf numFmtId="165" fontId="0" fillId="8" borderId="3" xfId="0" applyNumberFormat="1" applyFill="1" applyBorder="1" applyAlignment="1">
      <alignment horizontal="right"/>
    </xf>
    <xf numFmtId="165" fontId="0" fillId="8" borderId="5" xfId="0" applyNumberFormat="1" applyFill="1" applyBorder="1" applyAlignment="1">
      <alignment horizontal="right"/>
    </xf>
    <xf numFmtId="165" fontId="0" fillId="8" borderId="8" xfId="0" applyNumberFormat="1" applyFill="1" applyBorder="1" applyAlignment="1">
      <alignment horizontal="right"/>
    </xf>
    <xf numFmtId="49" fontId="1" fillId="5" borderId="0" xfId="0" applyNumberFormat="1" applyFont="1" applyFill="1" applyAlignment="1">
      <alignment horizontal="right" wrapText="1"/>
    </xf>
    <xf numFmtId="49" fontId="1" fillId="5" borderId="2" xfId="0" quotePrefix="1" applyNumberFormat="1" applyFont="1" applyFill="1" applyBorder="1" applyAlignment="1">
      <alignment horizontal="centerContinuous" wrapText="1"/>
    </xf>
    <xf numFmtId="0" fontId="0" fillId="8" borderId="2" xfId="0" applyFill="1" applyBorder="1"/>
    <xf numFmtId="0" fontId="3" fillId="0" borderId="0" xfId="0" applyFont="1"/>
    <xf numFmtId="0" fontId="2" fillId="0" borderId="0" xfId="0" applyFont="1"/>
    <xf numFmtId="0" fontId="2" fillId="4" borderId="0" xfId="0" quotePrefix="1" applyFont="1" applyFill="1" applyAlignment="1">
      <alignment horizontal="left"/>
    </xf>
    <xf numFmtId="0" fontId="4" fillId="0" borderId="0" xfId="0" quotePrefix="1" applyFont="1" applyAlignment="1">
      <alignment horizontal="left" vertical="center"/>
    </xf>
    <xf numFmtId="0" fontId="2" fillId="0" borderId="0" xfId="0" quotePrefix="1" applyFont="1" applyAlignment="1">
      <alignment horizontal="left"/>
    </xf>
    <xf numFmtId="0" fontId="0" fillId="2" borderId="16" xfId="0" applyFill="1" applyBorder="1"/>
    <xf numFmtId="0" fontId="2" fillId="0" borderId="0" xfId="0" quotePrefix="1" applyFont="1" applyFill="1" applyAlignment="1">
      <alignment horizontal="left"/>
    </xf>
    <xf numFmtId="0" fontId="0" fillId="3" borderId="15" xfId="0" applyFill="1" applyBorder="1"/>
    <xf numFmtId="0" fontId="0" fillId="3" borderId="17" xfId="0" applyFill="1" applyBorder="1"/>
    <xf numFmtId="0" fontId="0" fillId="3" borderId="14" xfId="0" applyFill="1" applyBorder="1"/>
  </cellXfs>
  <cellStyles count="1">
    <cellStyle name="Normal" xfId="0" builtinId="0"/>
  </cellStyles>
  <dxfs count="0"/>
  <tableStyles count="0" defaultTableStyle="TableStyleMedium9" defaultPivotStyle="PivotStyleLight16"/>
  <colors>
    <mruColors>
      <color rgb="FF70C67E"/>
      <color rgb="FF89D3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4</xdr:col>
          <xdr:colOff>66675</xdr:colOff>
          <xdr:row>8</xdr:row>
          <xdr:rowOff>171450</xdr:rowOff>
        </xdr:to>
        <xdr:sp macro="" textlink="">
          <xdr:nvSpPr>
            <xdr:cNvPr id="3076" name="KeyDataButton"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44"/>
  <sheetViews>
    <sheetView showGridLines="0" zoomScale="145" zoomScaleNormal="145" workbookViewId="0">
      <selection activeCell="D4" sqref="D4"/>
    </sheetView>
  </sheetViews>
  <sheetFormatPr defaultColWidth="8.85546875" defaultRowHeight="15" x14ac:dyDescent="0.25"/>
  <cols>
    <col min="2" max="2" width="2.7109375" customWidth="1"/>
    <col min="3" max="3" width="15.7109375" customWidth="1"/>
    <col min="4" max="4" width="20.7109375" customWidth="1"/>
    <col min="5" max="5" width="5.7109375" customWidth="1"/>
    <col min="6" max="6" width="12.7109375" customWidth="1"/>
    <col min="7" max="7" width="25.7109375" customWidth="1"/>
    <col min="8" max="8" width="2.7109375" customWidth="1"/>
  </cols>
  <sheetData>
    <row r="1" spans="2:8" ht="15.75" thickBot="1" x14ac:dyDescent="0.3"/>
    <row r="2" spans="2:8" ht="15.75" thickTop="1" x14ac:dyDescent="0.25">
      <c r="B2" s="9"/>
      <c r="C2" s="11" t="s">
        <v>42</v>
      </c>
      <c r="D2" s="11"/>
      <c r="E2" s="11"/>
      <c r="F2" s="11"/>
      <c r="G2" s="11"/>
      <c r="H2" s="12"/>
    </row>
    <row r="3" spans="2:8" x14ac:dyDescent="0.25">
      <c r="B3" s="10"/>
      <c r="H3" s="13"/>
    </row>
    <row r="4" spans="2:8" x14ac:dyDescent="0.25">
      <c r="B4" s="10"/>
      <c r="C4" t="s">
        <v>38</v>
      </c>
      <c r="D4" s="22" t="s">
        <v>2</v>
      </c>
      <c r="F4" t="s">
        <v>36</v>
      </c>
      <c r="G4" s="18" t="s">
        <v>41</v>
      </c>
      <c r="H4" s="13"/>
    </row>
    <row r="5" spans="2:8" x14ac:dyDescent="0.25">
      <c r="B5" s="10"/>
      <c r="C5" t="s">
        <v>47</v>
      </c>
      <c r="D5" s="23">
        <v>44197</v>
      </c>
      <c r="F5" t="s">
        <v>43</v>
      </c>
      <c r="G5" s="19">
        <v>44431.392314814817</v>
      </c>
      <c r="H5" s="13"/>
    </row>
    <row r="6" spans="2:8" x14ac:dyDescent="0.25">
      <c r="B6" s="10"/>
      <c r="H6" s="13"/>
    </row>
    <row r="7" spans="2:8" x14ac:dyDescent="0.25">
      <c r="B7" s="10"/>
      <c r="H7" s="14"/>
    </row>
    <row r="8" spans="2:8" x14ac:dyDescent="0.25">
      <c r="B8" s="10"/>
      <c r="H8" s="16"/>
    </row>
    <row r="9" spans="2:8" x14ac:dyDescent="0.25">
      <c r="B9" s="10"/>
      <c r="H9" s="15"/>
    </row>
    <row r="10" spans="2:8" x14ac:dyDescent="0.25">
      <c r="B10" s="10"/>
      <c r="H10" s="13"/>
    </row>
    <row r="11" spans="2:8" x14ac:dyDescent="0.25">
      <c r="B11" s="10"/>
      <c r="C11" s="38" t="s">
        <v>133</v>
      </c>
      <c r="D11" s="17"/>
      <c r="H11" s="13"/>
    </row>
    <row r="12" spans="2:8" x14ac:dyDescent="0.25">
      <c r="B12" s="10"/>
      <c r="C12" s="8" t="s">
        <v>39</v>
      </c>
      <c r="D12" s="37" t="s">
        <v>40</v>
      </c>
      <c r="H12" s="13"/>
    </row>
    <row r="13" spans="2:8" x14ac:dyDescent="0.25">
      <c r="B13" s="10"/>
      <c r="C13" s="31">
        <v>1991</v>
      </c>
      <c r="D13" s="34">
        <v>1.01800000667572</v>
      </c>
      <c r="H13" s="13"/>
    </row>
    <row r="14" spans="2:8" x14ac:dyDescent="0.25">
      <c r="B14" s="10"/>
      <c r="C14" s="32">
        <v>1992</v>
      </c>
      <c r="D14" s="35">
        <v>1.03199994564056</v>
      </c>
      <c r="H14" s="13"/>
    </row>
    <row r="15" spans="2:8" x14ac:dyDescent="0.25">
      <c r="B15" s="10"/>
      <c r="C15" s="32">
        <v>1993</v>
      </c>
      <c r="D15" s="35">
        <v>1.0479999780654901</v>
      </c>
      <c r="H15" s="13"/>
    </row>
    <row r="16" spans="2:8" x14ac:dyDescent="0.25">
      <c r="B16" s="10"/>
      <c r="C16" s="32">
        <v>1994</v>
      </c>
      <c r="D16" s="35">
        <v>1.0475000143051101</v>
      </c>
      <c r="H16" s="13"/>
    </row>
    <row r="17" spans="2:8" x14ac:dyDescent="0.25">
      <c r="B17" s="10"/>
      <c r="C17" s="32">
        <v>1995</v>
      </c>
      <c r="D17" s="35">
        <v>1.0475000143051101</v>
      </c>
      <c r="H17" s="13"/>
    </row>
    <row r="18" spans="2:8" x14ac:dyDescent="0.25">
      <c r="B18" s="10"/>
      <c r="C18" s="32">
        <v>1996</v>
      </c>
      <c r="D18" s="35">
        <v>1.0475000143051101</v>
      </c>
      <c r="H18" s="13"/>
    </row>
    <row r="19" spans="2:8" x14ac:dyDescent="0.25">
      <c r="B19" s="10"/>
      <c r="C19" s="32">
        <v>1997</v>
      </c>
      <c r="D19" s="35">
        <v>1.05500996112823</v>
      </c>
      <c r="H19" s="13"/>
    </row>
    <row r="20" spans="2:8" x14ac:dyDescent="0.25">
      <c r="B20" s="10"/>
      <c r="C20" s="32">
        <v>1998</v>
      </c>
      <c r="D20" s="35">
        <v>1.0650000572204501</v>
      </c>
      <c r="H20" s="13"/>
    </row>
    <row r="21" spans="2:8" x14ac:dyDescent="0.25">
      <c r="B21" s="10"/>
      <c r="C21" s="32">
        <v>1999</v>
      </c>
      <c r="D21" s="35">
        <v>1.06700003147125</v>
      </c>
      <c r="H21" s="13"/>
    </row>
    <row r="22" spans="2:8" x14ac:dyDescent="0.25">
      <c r="B22" s="10"/>
      <c r="C22" s="32">
        <v>2000</v>
      </c>
      <c r="D22" s="35">
        <v>1.0369999408721899</v>
      </c>
      <c r="H22" s="13"/>
    </row>
    <row r="23" spans="2:8" x14ac:dyDescent="0.25">
      <c r="B23" s="10"/>
      <c r="C23" s="32">
        <v>2001</v>
      </c>
      <c r="D23" s="35">
        <v>1.0729999542236299</v>
      </c>
      <c r="H23" s="13"/>
    </row>
    <row r="24" spans="2:8" x14ac:dyDescent="0.25">
      <c r="B24" s="10"/>
      <c r="C24" s="32">
        <v>2002</v>
      </c>
      <c r="D24" s="35">
        <v>1.05400002002716</v>
      </c>
      <c r="H24" s="13"/>
    </row>
    <row r="25" spans="2:8" x14ac:dyDescent="0.25">
      <c r="B25" s="10"/>
      <c r="C25" s="32">
        <v>2003</v>
      </c>
      <c r="D25" s="35">
        <v>1.06700003147125</v>
      </c>
      <c r="H25" s="13"/>
    </row>
    <row r="26" spans="2:8" x14ac:dyDescent="0.25">
      <c r="B26" s="10"/>
      <c r="C26" s="32">
        <v>2004</v>
      </c>
      <c r="D26" s="35">
        <v>1.0369999408721899</v>
      </c>
      <c r="H26" s="13"/>
    </row>
    <row r="27" spans="2:8" x14ac:dyDescent="0.25">
      <c r="B27" s="10"/>
      <c r="C27" s="32">
        <v>2005</v>
      </c>
      <c r="D27" s="35">
        <v>1.0379999876022299</v>
      </c>
      <c r="H27" s="13"/>
    </row>
    <row r="28" spans="2:8" x14ac:dyDescent="0.25">
      <c r="B28" s="10"/>
      <c r="C28" s="32">
        <v>2006</v>
      </c>
      <c r="D28" s="35">
        <v>1.04499995708465</v>
      </c>
      <c r="H28" s="13"/>
    </row>
    <row r="29" spans="2:8" x14ac:dyDescent="0.25">
      <c r="B29" s="10"/>
      <c r="C29" s="32">
        <v>2007</v>
      </c>
      <c r="D29" s="35">
        <v>0.99299997091293302</v>
      </c>
      <c r="H29" s="13"/>
    </row>
    <row r="30" spans="2:8" x14ac:dyDescent="0.25">
      <c r="B30" s="10"/>
      <c r="C30" s="32">
        <v>2008</v>
      </c>
      <c r="D30" s="35">
        <v>1.01800000667572</v>
      </c>
      <c r="H30" s="13"/>
    </row>
    <row r="31" spans="2:8" x14ac:dyDescent="0.25">
      <c r="B31" s="10"/>
      <c r="C31" s="32">
        <v>2009</v>
      </c>
      <c r="D31" s="35">
        <v>1.0199999809265099</v>
      </c>
      <c r="H31" s="13"/>
    </row>
    <row r="32" spans="2:8" x14ac:dyDescent="0.25">
      <c r="B32" s="10"/>
      <c r="C32" s="32">
        <v>2010</v>
      </c>
      <c r="D32" s="35">
        <v>1.0599999427795399</v>
      </c>
      <c r="H32" s="13"/>
    </row>
    <row r="33" spans="2:8" x14ac:dyDescent="0.25">
      <c r="B33" s="10"/>
      <c r="C33" s="32">
        <v>2011</v>
      </c>
      <c r="D33" s="35">
        <v>1.04499995708465</v>
      </c>
      <c r="H33" s="13"/>
    </row>
    <row r="34" spans="2:8" x14ac:dyDescent="0.25">
      <c r="B34" s="10"/>
      <c r="C34" s="32">
        <v>2012</v>
      </c>
      <c r="D34" s="35">
        <v>1.04499995708465</v>
      </c>
      <c r="H34" s="13"/>
    </row>
    <row r="35" spans="2:8" x14ac:dyDescent="0.25">
      <c r="B35" s="10"/>
      <c r="C35" s="32">
        <v>2013</v>
      </c>
      <c r="D35" s="35">
        <v>1.0299999713897701</v>
      </c>
      <c r="H35" s="13"/>
    </row>
    <row r="36" spans="2:8" x14ac:dyDescent="0.25">
      <c r="B36" s="10"/>
      <c r="C36" s="32">
        <v>2014</v>
      </c>
      <c r="D36" s="35">
        <v>1.0549999475479099</v>
      </c>
      <c r="H36" s="13"/>
    </row>
    <row r="37" spans="2:8" x14ac:dyDescent="0.25">
      <c r="B37" s="10"/>
      <c r="C37" s="32">
        <v>2015</v>
      </c>
      <c r="D37" s="35">
        <v>1.0599999427795399</v>
      </c>
      <c r="H37" s="13"/>
    </row>
    <row r="38" spans="2:8" x14ac:dyDescent="0.25">
      <c r="B38" s="10"/>
      <c r="C38" s="32">
        <v>2016</v>
      </c>
      <c r="D38" s="35">
        <v>1.0549999475479099</v>
      </c>
      <c r="H38" s="13"/>
    </row>
    <row r="39" spans="2:8" x14ac:dyDescent="0.25">
      <c r="B39" s="10"/>
      <c r="C39" s="32">
        <v>2017</v>
      </c>
      <c r="D39" s="35">
        <v>1.0549999475479099</v>
      </c>
      <c r="H39" s="13"/>
    </row>
    <row r="40" spans="2:8" x14ac:dyDescent="0.25">
      <c r="B40" s="10"/>
      <c r="C40" s="32">
        <v>2018</v>
      </c>
      <c r="D40" s="35">
        <v>1.04999995231628</v>
      </c>
      <c r="H40" s="13"/>
    </row>
    <row r="41" spans="2:8" x14ac:dyDescent="0.25">
      <c r="B41" s="10"/>
      <c r="C41" s="32">
        <v>2019</v>
      </c>
      <c r="D41" s="35">
        <v>1.04999995231628</v>
      </c>
      <c r="H41" s="13"/>
    </row>
    <row r="42" spans="2:8" x14ac:dyDescent="0.25">
      <c r="B42" s="10"/>
      <c r="C42" s="32">
        <v>2020</v>
      </c>
      <c r="D42" s="35">
        <v>1.04999995231628</v>
      </c>
      <c r="H42" s="13"/>
    </row>
    <row r="43" spans="2:8" x14ac:dyDescent="0.25">
      <c r="C43" s="32">
        <v>2021</v>
      </c>
      <c r="D43" s="35">
        <v>1.04999995231628</v>
      </c>
    </row>
    <row r="44" spans="2:8" x14ac:dyDescent="0.25">
      <c r="C44" s="33">
        <v>2022</v>
      </c>
      <c r="D44" s="36">
        <v>1.04999995231628</v>
      </c>
    </row>
  </sheetData>
  <sortState xmlns:xlrd2="http://schemas.microsoft.com/office/spreadsheetml/2017/richdata2" ref="C13:D44">
    <sortCondition ref="C13:C44"/>
  </sortState>
  <dataValidations count="1">
    <dataValidation type="list" allowBlank="1" showInputMessage="1" showErrorMessage="1" sqref="D4" xr:uid="{90D3105D-FFAD-4F0D-9656-B5B871581834}">
      <formula1>trendTypes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6" r:id="rId4" name="KeyDataButton">
          <controlPr defaultSize="0" autoLine="0" r:id="rId5">
            <anchor moveWithCells="1">
              <from>
                <xdr:col>2</xdr:col>
                <xdr:colOff>0</xdr:colOff>
                <xdr:row>7</xdr:row>
                <xdr:rowOff>0</xdr:rowOff>
              </from>
              <to>
                <xdr:col>4</xdr:col>
                <xdr:colOff>66675</xdr:colOff>
                <xdr:row>8</xdr:row>
                <xdr:rowOff>171450</xdr:rowOff>
              </to>
            </anchor>
          </controlPr>
        </control>
      </mc:Choice>
      <mc:Fallback>
        <control shapeId="3076" r:id="rId4" name="KeyData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78F67-0D33-48B0-95A2-BF9E2667124A}">
  <sheetPr codeName="Sheet2"/>
  <dimension ref="B2:J204"/>
  <sheetViews>
    <sheetView tabSelected="1" zoomScale="130" zoomScaleNormal="130" workbookViewId="0">
      <selection activeCell="C22" sqref="C22"/>
    </sheetView>
  </sheetViews>
  <sheetFormatPr defaultRowHeight="15" x14ac:dyDescent="0.25"/>
  <cols>
    <col min="2" max="2" width="18.5703125" bestFit="1" customWidth="1"/>
    <col min="3" max="3" width="93.28515625" bestFit="1" customWidth="1"/>
    <col min="4" max="4" width="2.7109375" customWidth="1"/>
    <col min="5" max="6" width="20.7109375" customWidth="1"/>
    <col min="7" max="7" width="2.7109375" customWidth="1"/>
    <col min="8" max="8" width="30.5703125" bestFit="1" customWidth="1"/>
    <col min="9" max="9" width="22" bestFit="1" customWidth="1"/>
    <col min="10" max="10" width="20.7109375" customWidth="1"/>
  </cols>
  <sheetData>
    <row r="2" spans="2:10" x14ac:dyDescent="0.25">
      <c r="B2" s="45" t="s">
        <v>100</v>
      </c>
    </row>
    <row r="4" spans="2:10" x14ac:dyDescent="0.25">
      <c r="B4" t="s">
        <v>92</v>
      </c>
      <c r="C4" s="41" t="str" cm="1">
        <f t="array" ref="C4">_xlfn.SWITCH(apiEnvironment, $E$11, devBaseUrl, $E$12, uatBaseUrl, $E$13,prodBaseUrl) &amp; "/PricingKeyDataService/api/v1"</f>
        <v>https://mrameu1-w00009.am.munichre.com/PricingKeyDataService/api/v1</v>
      </c>
      <c r="E4" s="2" t="s">
        <v>0</v>
      </c>
      <c r="F4" s="3" t="str">
        <f>TRIM(LEFT(E4,FIND(" ",E4)))</f>
        <v>Exposure</v>
      </c>
      <c r="H4" s="29" t="s">
        <v>7</v>
      </c>
      <c r="I4" s="39"/>
      <c r="J4" s="30">
        <v>222</v>
      </c>
    </row>
    <row r="5" spans="2:10" x14ac:dyDescent="0.25">
      <c r="B5" t="s">
        <v>6</v>
      </c>
      <c r="C5" s="41" t="str" cm="1">
        <f t="array" ref="C5">_xlfn.SWITCH(apiEnvironment, $E$11,devTokenUrl, $E$12, uatTokenUrl, $E$13, prodTokenUrl) &amp; "/Security/v1/token"</f>
        <v>https://uwpfapi.munich.munichre.com:8888/Security/v1/token</v>
      </c>
      <c r="E5" s="4" t="s">
        <v>1</v>
      </c>
      <c r="F5" s="5" t="str">
        <f>TRIM(LEFT(E5,FIND(" ",E5)))</f>
        <v>Frequency</v>
      </c>
      <c r="H5" s="26" t="s">
        <v>8</v>
      </c>
      <c r="I5" s="24"/>
      <c r="J5" s="20">
        <v>223</v>
      </c>
    </row>
    <row r="6" spans="2:10" x14ac:dyDescent="0.25">
      <c r="B6" s="1" t="s">
        <v>45</v>
      </c>
      <c r="C6" s="46" t="str">
        <f>baseUrl &amp; "/trendSets/" &amp; LOWER(F7) &amp; "?effectiveDate="&amp;TEXT(versionDate,"yyyy-mm-dd")</f>
        <v>https://mrameu1-w00009.am.munichre.com/PricingKeyDataService/api/v1/trendSets/severity?effectiveDate=2021-01-01</v>
      </c>
      <c r="E6" s="6" t="s">
        <v>2</v>
      </c>
      <c r="F6" s="7" t="str">
        <f>TRIM(LEFT(E6,FIND(" ",E6)))</f>
        <v>Severity</v>
      </c>
      <c r="H6" s="26" t="s">
        <v>105</v>
      </c>
      <c r="I6" s="24"/>
      <c r="J6" s="20">
        <v>224</v>
      </c>
    </row>
    <row r="7" spans="2:10" x14ac:dyDescent="0.25">
      <c r="B7" t="s">
        <v>44</v>
      </c>
      <c r="C7" s="46" t="str">
        <f>baseUrl &amp; "/trendSets/" &amp; C10 &amp; "/trends?effectiveDate=" &amp; TEXT(versionDate,"yyyy-mm-dd")</f>
        <v>https://mrameu1-w00009.am.munichre.com/PricingKeyDataService/api/v1/trendSets/226/trends?effectiveDate=2021-01-01</v>
      </c>
      <c r="F7" t="str">
        <f>INDEX(F4:F6,MATCH(trendType,trendTypes))</f>
        <v>Severity</v>
      </c>
      <c r="H7" s="26" t="s">
        <v>106</v>
      </c>
      <c r="I7" s="24"/>
      <c r="J7" s="20">
        <v>225</v>
      </c>
    </row>
    <row r="8" spans="2:10" x14ac:dyDescent="0.25">
      <c r="B8" t="s">
        <v>4</v>
      </c>
      <c r="C8" s="41" t="str" cm="1">
        <f t="array" ref="C8">_xlfn.SWITCH(apiEnvironment, $E$11, devSecretWord, $E$12, uatSecretWord, $E$13, prodSecretWord)</f>
        <v>"969d2a61-7e1e-44ee-acee-3f3a2ef66231"</v>
      </c>
      <c r="H8" s="26" t="s">
        <v>107</v>
      </c>
      <c r="I8" s="24" t="s">
        <v>108</v>
      </c>
      <c r="J8" s="20">
        <v>226</v>
      </c>
    </row>
    <row r="9" spans="2:10" x14ac:dyDescent="0.25">
      <c r="B9" s="1" t="s">
        <v>37</v>
      </c>
      <c r="C9" s="28">
        <v>60</v>
      </c>
      <c r="H9" s="26"/>
      <c r="I9" s="24" t="s">
        <v>109</v>
      </c>
      <c r="J9" s="20">
        <v>227</v>
      </c>
    </row>
    <row r="10" spans="2:10" x14ac:dyDescent="0.25">
      <c r="B10" t="s">
        <v>46</v>
      </c>
      <c r="C10" s="42">
        <v>226</v>
      </c>
      <c r="H10" s="26" t="s">
        <v>10</v>
      </c>
      <c r="I10" s="24" t="s">
        <v>9</v>
      </c>
      <c r="J10" s="20">
        <v>228</v>
      </c>
    </row>
    <row r="11" spans="2:10" x14ac:dyDescent="0.25">
      <c r="C11" s="41"/>
      <c r="E11" s="47" t="s">
        <v>104</v>
      </c>
      <c r="H11" s="26" t="s">
        <v>110</v>
      </c>
      <c r="I11" s="24"/>
      <c r="J11" s="20">
        <v>229</v>
      </c>
    </row>
    <row r="12" spans="2:10" x14ac:dyDescent="0.25">
      <c r="C12" s="43"/>
      <c r="E12" s="48" t="s">
        <v>93</v>
      </c>
      <c r="H12" s="26" t="s">
        <v>11</v>
      </c>
      <c r="I12" s="24"/>
      <c r="J12" s="20">
        <v>230</v>
      </c>
    </row>
    <row r="13" spans="2:10" x14ac:dyDescent="0.25">
      <c r="C13" s="44"/>
      <c r="E13" s="49" t="s">
        <v>100</v>
      </c>
      <c r="H13" s="26" t="s">
        <v>111</v>
      </c>
      <c r="I13" s="24"/>
      <c r="J13" s="20">
        <v>231</v>
      </c>
    </row>
    <row r="14" spans="2:10" x14ac:dyDescent="0.25">
      <c r="B14" s="40" t="s">
        <v>91</v>
      </c>
      <c r="C14" s="41"/>
      <c r="H14" s="26" t="s">
        <v>112</v>
      </c>
      <c r="I14" s="24"/>
      <c r="J14" s="20">
        <v>423</v>
      </c>
    </row>
    <row r="15" spans="2:10" x14ac:dyDescent="0.25">
      <c r="B15" t="s">
        <v>92</v>
      </c>
      <c r="C15" s="28" t="s">
        <v>97</v>
      </c>
      <c r="H15" s="26" t="s">
        <v>113</v>
      </c>
      <c r="I15" s="24"/>
      <c r="J15" s="20">
        <v>232</v>
      </c>
    </row>
    <row r="16" spans="2:10" x14ac:dyDescent="0.25">
      <c r="B16" t="s">
        <v>6</v>
      </c>
      <c r="C16" s="28" t="s">
        <v>98</v>
      </c>
      <c r="H16" s="26" t="s">
        <v>114</v>
      </c>
      <c r="I16" s="24"/>
      <c r="J16" s="20">
        <v>233</v>
      </c>
    </row>
    <row r="17" spans="2:10" x14ac:dyDescent="0.25">
      <c r="B17" t="s">
        <v>4</v>
      </c>
      <c r="C17" s="28" t="s">
        <v>5</v>
      </c>
      <c r="H17" s="26" t="s">
        <v>12</v>
      </c>
      <c r="I17" s="24"/>
      <c r="J17" s="20">
        <v>234</v>
      </c>
    </row>
    <row r="18" spans="2:10" x14ac:dyDescent="0.25">
      <c r="C18" s="41"/>
      <c r="H18" s="26" t="s">
        <v>13</v>
      </c>
      <c r="I18" s="24" t="s">
        <v>115</v>
      </c>
      <c r="J18" s="20">
        <v>235</v>
      </c>
    </row>
    <row r="19" spans="2:10" x14ac:dyDescent="0.25">
      <c r="C19" s="41"/>
      <c r="H19" s="26"/>
      <c r="I19" s="24" t="s">
        <v>116</v>
      </c>
      <c r="J19" s="20">
        <v>236</v>
      </c>
    </row>
    <row r="20" spans="2:10" x14ac:dyDescent="0.25">
      <c r="B20" s="40" t="s">
        <v>93</v>
      </c>
      <c r="C20" s="41"/>
      <c r="H20" s="26"/>
      <c r="I20" s="24" t="s">
        <v>117</v>
      </c>
      <c r="J20" s="20">
        <v>237</v>
      </c>
    </row>
    <row r="21" spans="2:10" x14ac:dyDescent="0.25">
      <c r="B21" t="s">
        <v>92</v>
      </c>
      <c r="C21" s="28" t="s">
        <v>134</v>
      </c>
      <c r="H21" s="26"/>
      <c r="I21" s="24" t="s">
        <v>118</v>
      </c>
      <c r="J21" s="20">
        <v>238</v>
      </c>
    </row>
    <row r="22" spans="2:10" x14ac:dyDescent="0.25">
      <c r="B22" t="s">
        <v>6</v>
      </c>
      <c r="C22" s="28" t="s">
        <v>99</v>
      </c>
      <c r="H22" s="26"/>
      <c r="I22" s="24" t="s">
        <v>119</v>
      </c>
      <c r="J22" s="20">
        <v>239</v>
      </c>
    </row>
    <row r="23" spans="2:10" x14ac:dyDescent="0.25">
      <c r="B23" t="s">
        <v>4</v>
      </c>
      <c r="C23" s="28" t="s">
        <v>94</v>
      </c>
      <c r="H23" s="26"/>
      <c r="I23" s="24" t="s">
        <v>120</v>
      </c>
      <c r="J23" s="20">
        <v>240</v>
      </c>
    </row>
    <row r="24" spans="2:10" x14ac:dyDescent="0.25">
      <c r="H24" s="26"/>
      <c r="I24" s="24" t="s">
        <v>121</v>
      </c>
      <c r="J24" s="20">
        <v>241</v>
      </c>
    </row>
    <row r="25" spans="2:10" x14ac:dyDescent="0.25">
      <c r="H25" s="26"/>
      <c r="I25" s="24" t="s">
        <v>122</v>
      </c>
      <c r="J25" s="20">
        <v>242</v>
      </c>
    </row>
    <row r="26" spans="2:10" x14ac:dyDescent="0.25">
      <c r="B26" s="40" t="s">
        <v>100</v>
      </c>
      <c r="H26" s="26"/>
      <c r="I26" s="24" t="s">
        <v>14</v>
      </c>
      <c r="J26" s="20">
        <v>243</v>
      </c>
    </row>
    <row r="27" spans="2:10" x14ac:dyDescent="0.25">
      <c r="B27" t="s">
        <v>92</v>
      </c>
      <c r="C27" s="28" t="s">
        <v>101</v>
      </c>
      <c r="H27" s="26"/>
      <c r="I27" s="24" t="s">
        <v>123</v>
      </c>
      <c r="J27" s="20">
        <v>244</v>
      </c>
    </row>
    <row r="28" spans="2:10" x14ac:dyDescent="0.25">
      <c r="B28" t="s">
        <v>6</v>
      </c>
      <c r="C28" s="28" t="s">
        <v>102</v>
      </c>
      <c r="H28" s="26"/>
      <c r="I28" s="24" t="s">
        <v>15</v>
      </c>
      <c r="J28" s="20">
        <v>245</v>
      </c>
    </row>
    <row r="29" spans="2:10" x14ac:dyDescent="0.25">
      <c r="B29" t="s">
        <v>4</v>
      </c>
      <c r="C29" s="28" t="s">
        <v>103</v>
      </c>
      <c r="H29" s="26"/>
      <c r="I29" s="24" t="s">
        <v>124</v>
      </c>
      <c r="J29" s="20">
        <v>246</v>
      </c>
    </row>
    <row r="30" spans="2:10" x14ac:dyDescent="0.25">
      <c r="H30" s="26" t="s">
        <v>125</v>
      </c>
      <c r="I30" s="24"/>
      <c r="J30" s="20">
        <v>247</v>
      </c>
    </row>
    <row r="31" spans="2:10" x14ac:dyDescent="0.25">
      <c r="H31" s="26" t="s">
        <v>126</v>
      </c>
      <c r="I31" s="24" t="s">
        <v>16</v>
      </c>
      <c r="J31" s="20">
        <v>248</v>
      </c>
    </row>
    <row r="32" spans="2:10" x14ac:dyDescent="0.25">
      <c r="H32" s="26"/>
      <c r="I32" s="24" t="s">
        <v>17</v>
      </c>
      <c r="J32" s="20">
        <v>249</v>
      </c>
    </row>
    <row r="33" spans="8:10" x14ac:dyDescent="0.25">
      <c r="H33" s="26"/>
      <c r="I33" s="24" t="s">
        <v>18</v>
      </c>
      <c r="J33" s="20">
        <v>250</v>
      </c>
    </row>
    <row r="34" spans="8:10" x14ac:dyDescent="0.25">
      <c r="H34" s="26"/>
      <c r="I34" s="24" t="s">
        <v>19</v>
      </c>
      <c r="J34" s="20">
        <v>251</v>
      </c>
    </row>
    <row r="35" spans="8:10" x14ac:dyDescent="0.25">
      <c r="H35" s="26"/>
      <c r="I35" s="24" t="s">
        <v>3</v>
      </c>
      <c r="J35" s="20">
        <v>252</v>
      </c>
    </row>
    <row r="36" spans="8:10" x14ac:dyDescent="0.25">
      <c r="H36" s="26"/>
      <c r="I36" s="24" t="s">
        <v>20</v>
      </c>
      <c r="J36" s="20">
        <v>253</v>
      </c>
    </row>
    <row r="37" spans="8:10" x14ac:dyDescent="0.25">
      <c r="H37" s="26"/>
      <c r="I37" s="24" t="s">
        <v>21</v>
      </c>
      <c r="J37" s="20">
        <v>254</v>
      </c>
    </row>
    <row r="38" spans="8:10" x14ac:dyDescent="0.25">
      <c r="H38" s="26"/>
      <c r="I38" s="24" t="s">
        <v>22</v>
      </c>
      <c r="J38" s="20">
        <v>255</v>
      </c>
    </row>
    <row r="39" spans="8:10" x14ac:dyDescent="0.25">
      <c r="H39" s="26"/>
      <c r="I39" s="24" t="s">
        <v>23</v>
      </c>
      <c r="J39" s="20">
        <v>256</v>
      </c>
    </row>
    <row r="40" spans="8:10" x14ac:dyDescent="0.25">
      <c r="H40" s="26"/>
      <c r="I40" s="24" t="s">
        <v>24</v>
      </c>
      <c r="J40" s="20">
        <v>257</v>
      </c>
    </row>
    <row r="41" spans="8:10" x14ac:dyDescent="0.25">
      <c r="H41" s="26"/>
      <c r="I41" s="24" t="s">
        <v>25</v>
      </c>
      <c r="J41" s="20">
        <v>258</v>
      </c>
    </row>
    <row r="42" spans="8:10" x14ac:dyDescent="0.25">
      <c r="H42" s="26"/>
      <c r="I42" s="24" t="s">
        <v>26</v>
      </c>
      <c r="J42" s="20">
        <v>259</v>
      </c>
    </row>
    <row r="43" spans="8:10" x14ac:dyDescent="0.25">
      <c r="H43" s="26"/>
      <c r="I43" s="24" t="s">
        <v>27</v>
      </c>
      <c r="J43" s="20">
        <v>260</v>
      </c>
    </row>
    <row r="44" spans="8:10" x14ac:dyDescent="0.25">
      <c r="H44" s="26"/>
      <c r="I44" s="24" t="s">
        <v>28</v>
      </c>
      <c r="J44" s="20">
        <v>261</v>
      </c>
    </row>
    <row r="45" spans="8:10" x14ac:dyDescent="0.25">
      <c r="H45" s="26"/>
      <c r="I45" s="24" t="s">
        <v>29</v>
      </c>
      <c r="J45" s="20">
        <v>262</v>
      </c>
    </row>
    <row r="46" spans="8:10" x14ac:dyDescent="0.25">
      <c r="H46" s="26"/>
      <c r="I46" s="24" t="s">
        <v>30</v>
      </c>
      <c r="J46" s="20">
        <v>263</v>
      </c>
    </row>
    <row r="47" spans="8:10" x14ac:dyDescent="0.25">
      <c r="H47" s="26"/>
      <c r="I47" s="24" t="s">
        <v>31</v>
      </c>
      <c r="J47" s="20">
        <v>264</v>
      </c>
    </row>
    <row r="48" spans="8:10" x14ac:dyDescent="0.25">
      <c r="H48" s="26"/>
      <c r="I48" s="24" t="s">
        <v>32</v>
      </c>
      <c r="J48" s="20">
        <v>265</v>
      </c>
    </row>
    <row r="49" spans="8:10" x14ac:dyDescent="0.25">
      <c r="H49" s="26"/>
      <c r="I49" s="24" t="s">
        <v>33</v>
      </c>
      <c r="J49" s="20">
        <v>266</v>
      </c>
    </row>
    <row r="50" spans="8:10" x14ac:dyDescent="0.25">
      <c r="H50" s="26"/>
      <c r="I50" s="24" t="s">
        <v>34</v>
      </c>
      <c r="J50" s="20">
        <v>267</v>
      </c>
    </row>
    <row r="51" spans="8:10" x14ac:dyDescent="0.25">
      <c r="H51" s="26"/>
      <c r="I51" s="24" t="s">
        <v>35</v>
      </c>
      <c r="J51" s="20">
        <v>268</v>
      </c>
    </row>
    <row r="52" spans="8:10" x14ac:dyDescent="0.25">
      <c r="H52" s="26"/>
      <c r="I52" s="24" t="s">
        <v>60</v>
      </c>
      <c r="J52" s="20">
        <v>269</v>
      </c>
    </row>
    <row r="53" spans="8:10" x14ac:dyDescent="0.25">
      <c r="H53" s="26"/>
      <c r="I53" s="24" t="s">
        <v>61</v>
      </c>
      <c r="J53" s="20">
        <v>270</v>
      </c>
    </row>
    <row r="54" spans="8:10" x14ac:dyDescent="0.25">
      <c r="H54" s="26"/>
      <c r="I54" s="24" t="s">
        <v>62</v>
      </c>
      <c r="J54" s="20">
        <v>271</v>
      </c>
    </row>
    <row r="55" spans="8:10" x14ac:dyDescent="0.25">
      <c r="H55" s="26"/>
      <c r="I55" s="24" t="s">
        <v>63</v>
      </c>
      <c r="J55" s="20">
        <v>272</v>
      </c>
    </row>
    <row r="56" spans="8:10" x14ac:dyDescent="0.25">
      <c r="H56" s="26"/>
      <c r="I56" s="24" t="s">
        <v>64</v>
      </c>
      <c r="J56" s="20">
        <v>273</v>
      </c>
    </row>
    <row r="57" spans="8:10" x14ac:dyDescent="0.25">
      <c r="H57" s="26"/>
      <c r="I57" s="24" t="s">
        <v>65</v>
      </c>
      <c r="J57" s="20">
        <v>274</v>
      </c>
    </row>
    <row r="58" spans="8:10" x14ac:dyDescent="0.25">
      <c r="H58" s="26"/>
      <c r="I58" s="24" t="s">
        <v>66</v>
      </c>
      <c r="J58" s="20">
        <v>275</v>
      </c>
    </row>
    <row r="59" spans="8:10" x14ac:dyDescent="0.25">
      <c r="H59" s="26"/>
      <c r="I59" s="24" t="s">
        <v>67</v>
      </c>
      <c r="J59" s="20">
        <v>276</v>
      </c>
    </row>
    <row r="60" spans="8:10" x14ac:dyDescent="0.25">
      <c r="H60" s="26"/>
      <c r="I60" s="24" t="s">
        <v>68</v>
      </c>
      <c r="J60" s="20">
        <v>277</v>
      </c>
    </row>
    <row r="61" spans="8:10" x14ac:dyDescent="0.25">
      <c r="H61" s="26"/>
      <c r="I61" s="24" t="s">
        <v>69</v>
      </c>
      <c r="J61" s="20">
        <v>278</v>
      </c>
    </row>
    <row r="62" spans="8:10" x14ac:dyDescent="0.25">
      <c r="H62" s="26"/>
      <c r="I62" s="24" t="s">
        <v>70</v>
      </c>
      <c r="J62" s="20">
        <v>279</v>
      </c>
    </row>
    <row r="63" spans="8:10" x14ac:dyDescent="0.25">
      <c r="H63" s="26"/>
      <c r="I63" s="24" t="s">
        <v>71</v>
      </c>
      <c r="J63" s="20">
        <v>280</v>
      </c>
    </row>
    <row r="64" spans="8:10" x14ac:dyDescent="0.25">
      <c r="H64" s="26"/>
      <c r="I64" s="24" t="s">
        <v>72</v>
      </c>
      <c r="J64" s="20">
        <v>281</v>
      </c>
    </row>
    <row r="65" spans="8:10" x14ac:dyDescent="0.25">
      <c r="H65" s="26"/>
      <c r="I65" s="24" t="s">
        <v>73</v>
      </c>
      <c r="J65" s="20">
        <v>282</v>
      </c>
    </row>
    <row r="66" spans="8:10" x14ac:dyDescent="0.25">
      <c r="H66" s="26"/>
      <c r="I66" s="24" t="s">
        <v>74</v>
      </c>
      <c r="J66" s="20">
        <v>283</v>
      </c>
    </row>
    <row r="67" spans="8:10" x14ac:dyDescent="0.25">
      <c r="H67" s="26"/>
      <c r="I67" s="24" t="s">
        <v>75</v>
      </c>
      <c r="J67" s="20">
        <v>284</v>
      </c>
    </row>
    <row r="68" spans="8:10" x14ac:dyDescent="0.25">
      <c r="H68" s="26"/>
      <c r="I68" s="24" t="s">
        <v>76</v>
      </c>
      <c r="J68" s="20">
        <v>285</v>
      </c>
    </row>
    <row r="69" spans="8:10" x14ac:dyDescent="0.25">
      <c r="H69" s="26"/>
      <c r="I69" s="24" t="s">
        <v>77</v>
      </c>
      <c r="J69" s="20">
        <v>286</v>
      </c>
    </row>
    <row r="70" spans="8:10" x14ac:dyDescent="0.25">
      <c r="H70" s="26"/>
      <c r="I70" s="24" t="s">
        <v>78</v>
      </c>
      <c r="J70" s="20">
        <v>287</v>
      </c>
    </row>
    <row r="71" spans="8:10" x14ac:dyDescent="0.25">
      <c r="H71" s="26"/>
      <c r="I71" s="24" t="s">
        <v>79</v>
      </c>
      <c r="J71" s="20">
        <v>288</v>
      </c>
    </row>
    <row r="72" spans="8:10" x14ac:dyDescent="0.25">
      <c r="H72" s="26"/>
      <c r="I72" s="24" t="s">
        <v>80</v>
      </c>
      <c r="J72" s="20">
        <v>289</v>
      </c>
    </row>
    <row r="73" spans="8:10" x14ac:dyDescent="0.25">
      <c r="H73" s="26"/>
      <c r="I73" s="24" t="s">
        <v>81</v>
      </c>
      <c r="J73" s="20">
        <v>290</v>
      </c>
    </row>
    <row r="74" spans="8:10" x14ac:dyDescent="0.25">
      <c r="H74" s="26"/>
      <c r="I74" s="24" t="s">
        <v>82</v>
      </c>
      <c r="J74" s="20">
        <v>291</v>
      </c>
    </row>
    <row r="75" spans="8:10" x14ac:dyDescent="0.25">
      <c r="H75" s="26"/>
      <c r="I75" s="24" t="s">
        <v>83</v>
      </c>
      <c r="J75" s="20">
        <v>292</v>
      </c>
    </row>
    <row r="76" spans="8:10" x14ac:dyDescent="0.25">
      <c r="H76" s="26"/>
      <c r="I76" s="24" t="s">
        <v>84</v>
      </c>
      <c r="J76" s="20">
        <v>293</v>
      </c>
    </row>
    <row r="77" spans="8:10" x14ac:dyDescent="0.25">
      <c r="H77" s="26"/>
      <c r="I77" s="24" t="s">
        <v>85</v>
      </c>
      <c r="J77" s="20">
        <v>294</v>
      </c>
    </row>
    <row r="78" spans="8:10" x14ac:dyDescent="0.25">
      <c r="H78" s="26"/>
      <c r="I78" s="24" t="s">
        <v>86</v>
      </c>
      <c r="J78" s="20">
        <v>295</v>
      </c>
    </row>
    <row r="79" spans="8:10" x14ac:dyDescent="0.25">
      <c r="H79" s="26"/>
      <c r="I79" s="24" t="s">
        <v>87</v>
      </c>
      <c r="J79" s="20">
        <v>296</v>
      </c>
    </row>
    <row r="80" spans="8:10" x14ac:dyDescent="0.25">
      <c r="H80" s="26"/>
      <c r="I80" s="24" t="s">
        <v>88</v>
      </c>
      <c r="J80" s="20">
        <v>297</v>
      </c>
    </row>
    <row r="81" spans="8:10" x14ac:dyDescent="0.25">
      <c r="H81" s="26"/>
      <c r="I81" s="24" t="s">
        <v>89</v>
      </c>
      <c r="J81" s="20">
        <v>298</v>
      </c>
    </row>
    <row r="82" spans="8:10" x14ac:dyDescent="0.25">
      <c r="H82" s="26"/>
      <c r="I82" s="24" t="s">
        <v>90</v>
      </c>
      <c r="J82" s="20">
        <v>299</v>
      </c>
    </row>
    <row r="83" spans="8:10" x14ac:dyDescent="0.25">
      <c r="H83" s="26" t="s">
        <v>96</v>
      </c>
      <c r="I83" s="24"/>
      <c r="J83" s="20">
        <v>300</v>
      </c>
    </row>
    <row r="84" spans="8:10" x14ac:dyDescent="0.25">
      <c r="H84" s="26" t="s">
        <v>48</v>
      </c>
      <c r="I84" s="24"/>
      <c r="J84" s="20">
        <v>301</v>
      </c>
    </row>
    <row r="85" spans="8:10" x14ac:dyDescent="0.25">
      <c r="H85" s="26" t="s">
        <v>49</v>
      </c>
      <c r="I85" s="24" t="s">
        <v>50</v>
      </c>
      <c r="J85" s="20">
        <v>302</v>
      </c>
    </row>
    <row r="86" spans="8:10" x14ac:dyDescent="0.25">
      <c r="H86" s="26" t="s">
        <v>49</v>
      </c>
      <c r="I86" s="24" t="s">
        <v>51</v>
      </c>
      <c r="J86" s="20">
        <v>303</v>
      </c>
    </row>
    <row r="87" spans="8:10" x14ac:dyDescent="0.25">
      <c r="H87" s="26" t="s">
        <v>127</v>
      </c>
      <c r="I87" s="24"/>
      <c r="J87" s="20">
        <v>304</v>
      </c>
    </row>
    <row r="88" spans="8:10" x14ac:dyDescent="0.25">
      <c r="H88" s="26" t="s">
        <v>128</v>
      </c>
      <c r="I88" s="24" t="s">
        <v>108</v>
      </c>
      <c r="J88" s="20">
        <v>305</v>
      </c>
    </row>
    <row r="89" spans="8:10" x14ac:dyDescent="0.25">
      <c r="H89" s="26" t="s">
        <v>128</v>
      </c>
      <c r="I89" s="24" t="s">
        <v>109</v>
      </c>
      <c r="J89" s="20">
        <v>306</v>
      </c>
    </row>
    <row r="90" spans="8:10" x14ac:dyDescent="0.25">
      <c r="H90" s="26" t="s">
        <v>52</v>
      </c>
      <c r="I90" s="24" t="s">
        <v>9</v>
      </c>
      <c r="J90" s="20">
        <v>307</v>
      </c>
    </row>
    <row r="91" spans="8:10" x14ac:dyDescent="0.25">
      <c r="H91" s="26" t="s">
        <v>53</v>
      </c>
      <c r="I91" s="24"/>
      <c r="J91" s="20">
        <v>308</v>
      </c>
    </row>
    <row r="92" spans="8:10" x14ac:dyDescent="0.25">
      <c r="H92" s="26" t="s">
        <v>129</v>
      </c>
      <c r="I92" s="24"/>
      <c r="J92" s="20">
        <v>309</v>
      </c>
    </row>
    <row r="93" spans="8:10" x14ac:dyDescent="0.25">
      <c r="H93" s="26" t="s">
        <v>54</v>
      </c>
      <c r="I93" s="24"/>
      <c r="J93" s="20">
        <v>310</v>
      </c>
    </row>
    <row r="94" spans="8:10" x14ac:dyDescent="0.25">
      <c r="H94" s="26" t="s">
        <v>130</v>
      </c>
      <c r="I94" s="24"/>
      <c r="J94" s="20">
        <v>311</v>
      </c>
    </row>
    <row r="95" spans="8:10" x14ac:dyDescent="0.25">
      <c r="H95" s="26" t="s">
        <v>55</v>
      </c>
      <c r="I95" s="24" t="s">
        <v>56</v>
      </c>
      <c r="J95" s="20">
        <v>312</v>
      </c>
    </row>
    <row r="96" spans="8:10" x14ac:dyDescent="0.25">
      <c r="H96" s="26" t="s">
        <v>55</v>
      </c>
      <c r="I96" s="24" t="s">
        <v>57</v>
      </c>
      <c r="J96" s="20">
        <v>313</v>
      </c>
    </row>
    <row r="97" spans="8:10" x14ac:dyDescent="0.25">
      <c r="H97" s="26" t="s">
        <v>58</v>
      </c>
      <c r="I97" s="24"/>
      <c r="J97" s="20">
        <v>314</v>
      </c>
    </row>
    <row r="98" spans="8:10" x14ac:dyDescent="0.25">
      <c r="H98" s="26" t="s">
        <v>59</v>
      </c>
      <c r="I98" s="24"/>
      <c r="J98" s="20">
        <v>315</v>
      </c>
    </row>
    <row r="99" spans="8:10" x14ac:dyDescent="0.25">
      <c r="H99" s="26" t="s">
        <v>131</v>
      </c>
      <c r="I99" s="24" t="s">
        <v>16</v>
      </c>
      <c r="J99" s="20">
        <v>316</v>
      </c>
    </row>
    <row r="100" spans="8:10" x14ac:dyDescent="0.25">
      <c r="H100" s="26" t="s">
        <v>131</v>
      </c>
      <c r="I100" s="24" t="s">
        <v>17</v>
      </c>
      <c r="J100" s="20">
        <v>317</v>
      </c>
    </row>
    <row r="101" spans="8:10" x14ac:dyDescent="0.25">
      <c r="H101" s="26" t="s">
        <v>131</v>
      </c>
      <c r="I101" s="24" t="s">
        <v>18</v>
      </c>
      <c r="J101" s="20">
        <v>318</v>
      </c>
    </row>
    <row r="102" spans="8:10" x14ac:dyDescent="0.25">
      <c r="H102" s="26" t="s">
        <v>131</v>
      </c>
      <c r="I102" s="24" t="s">
        <v>19</v>
      </c>
      <c r="J102" s="20">
        <v>319</v>
      </c>
    </row>
    <row r="103" spans="8:10" x14ac:dyDescent="0.25">
      <c r="H103" s="26" t="s">
        <v>131</v>
      </c>
      <c r="I103" s="24" t="s">
        <v>3</v>
      </c>
      <c r="J103" s="20">
        <v>320</v>
      </c>
    </row>
    <row r="104" spans="8:10" x14ac:dyDescent="0.25">
      <c r="H104" s="26" t="s">
        <v>131</v>
      </c>
      <c r="I104" s="24" t="s">
        <v>20</v>
      </c>
      <c r="J104" s="20">
        <v>321</v>
      </c>
    </row>
    <row r="105" spans="8:10" x14ac:dyDescent="0.25">
      <c r="H105" s="26" t="s">
        <v>131</v>
      </c>
      <c r="I105" s="24" t="s">
        <v>21</v>
      </c>
      <c r="J105" s="20">
        <v>322</v>
      </c>
    </row>
    <row r="106" spans="8:10" x14ac:dyDescent="0.25">
      <c r="H106" s="26" t="s">
        <v>131</v>
      </c>
      <c r="I106" s="24" t="s">
        <v>22</v>
      </c>
      <c r="J106" s="20">
        <v>323</v>
      </c>
    </row>
    <row r="107" spans="8:10" x14ac:dyDescent="0.25">
      <c r="H107" s="26" t="s">
        <v>131</v>
      </c>
      <c r="I107" s="24" t="s">
        <v>23</v>
      </c>
      <c r="J107" s="20">
        <v>324</v>
      </c>
    </row>
    <row r="108" spans="8:10" x14ac:dyDescent="0.25">
      <c r="H108" s="26" t="s">
        <v>131</v>
      </c>
      <c r="I108" s="24" t="s">
        <v>24</v>
      </c>
      <c r="J108" s="20">
        <v>325</v>
      </c>
    </row>
    <row r="109" spans="8:10" x14ac:dyDescent="0.25">
      <c r="H109" s="26" t="s">
        <v>131</v>
      </c>
      <c r="I109" s="24" t="s">
        <v>25</v>
      </c>
      <c r="J109" s="20">
        <v>326</v>
      </c>
    </row>
    <row r="110" spans="8:10" x14ac:dyDescent="0.25">
      <c r="H110" s="26" t="s">
        <v>131</v>
      </c>
      <c r="I110" s="24" t="s">
        <v>26</v>
      </c>
      <c r="J110" s="20">
        <v>327</v>
      </c>
    </row>
    <row r="111" spans="8:10" x14ac:dyDescent="0.25">
      <c r="H111" s="26" t="s">
        <v>131</v>
      </c>
      <c r="I111" s="24" t="s">
        <v>27</v>
      </c>
      <c r="J111" s="20">
        <v>328</v>
      </c>
    </row>
    <row r="112" spans="8:10" x14ac:dyDescent="0.25">
      <c r="H112" s="26" t="s">
        <v>131</v>
      </c>
      <c r="I112" s="24" t="s">
        <v>28</v>
      </c>
      <c r="J112" s="20">
        <v>329</v>
      </c>
    </row>
    <row r="113" spans="8:10" x14ac:dyDescent="0.25">
      <c r="H113" s="26" t="s">
        <v>131</v>
      </c>
      <c r="I113" s="24" t="s">
        <v>29</v>
      </c>
      <c r="J113" s="20">
        <v>330</v>
      </c>
    </row>
    <row r="114" spans="8:10" x14ac:dyDescent="0.25">
      <c r="H114" s="26" t="s">
        <v>131</v>
      </c>
      <c r="I114" s="24" t="s">
        <v>30</v>
      </c>
      <c r="J114" s="20">
        <v>331</v>
      </c>
    </row>
    <row r="115" spans="8:10" x14ac:dyDescent="0.25">
      <c r="H115" s="26" t="s">
        <v>131</v>
      </c>
      <c r="I115" s="24" t="s">
        <v>31</v>
      </c>
      <c r="J115" s="20">
        <v>332</v>
      </c>
    </row>
    <row r="116" spans="8:10" x14ac:dyDescent="0.25">
      <c r="H116" s="26" t="s">
        <v>131</v>
      </c>
      <c r="I116" s="24" t="s">
        <v>32</v>
      </c>
      <c r="J116" s="20">
        <v>333</v>
      </c>
    </row>
    <row r="117" spans="8:10" x14ac:dyDescent="0.25">
      <c r="H117" s="26" t="s">
        <v>131</v>
      </c>
      <c r="I117" s="24" t="s">
        <v>33</v>
      </c>
      <c r="J117" s="20">
        <v>334</v>
      </c>
    </row>
    <row r="118" spans="8:10" x14ac:dyDescent="0.25">
      <c r="H118" s="26" t="s">
        <v>131</v>
      </c>
      <c r="I118" s="24" t="s">
        <v>34</v>
      </c>
      <c r="J118" s="20">
        <v>335</v>
      </c>
    </row>
    <row r="119" spans="8:10" x14ac:dyDescent="0.25">
      <c r="H119" s="26" t="s">
        <v>131</v>
      </c>
      <c r="I119" s="24" t="s">
        <v>35</v>
      </c>
      <c r="J119" s="20">
        <v>336</v>
      </c>
    </row>
    <row r="120" spans="8:10" x14ac:dyDescent="0.25">
      <c r="H120" s="26" t="s">
        <v>131</v>
      </c>
      <c r="I120" s="24" t="s">
        <v>60</v>
      </c>
      <c r="J120" s="20">
        <v>337</v>
      </c>
    </row>
    <row r="121" spans="8:10" x14ac:dyDescent="0.25">
      <c r="H121" s="26" t="s">
        <v>131</v>
      </c>
      <c r="I121" s="24" t="s">
        <v>61</v>
      </c>
      <c r="J121" s="20">
        <v>338</v>
      </c>
    </row>
    <row r="122" spans="8:10" x14ac:dyDescent="0.25">
      <c r="H122" s="26" t="s">
        <v>131</v>
      </c>
      <c r="I122" s="24" t="s">
        <v>62</v>
      </c>
      <c r="J122" s="20">
        <v>339</v>
      </c>
    </row>
    <row r="123" spans="8:10" x14ac:dyDescent="0.25">
      <c r="H123" s="26" t="s">
        <v>131</v>
      </c>
      <c r="I123" s="24" t="s">
        <v>63</v>
      </c>
      <c r="J123" s="20">
        <v>340</v>
      </c>
    </row>
    <row r="124" spans="8:10" x14ac:dyDescent="0.25">
      <c r="H124" s="26" t="s">
        <v>131</v>
      </c>
      <c r="I124" s="24" t="s">
        <v>64</v>
      </c>
      <c r="J124" s="20">
        <v>341</v>
      </c>
    </row>
    <row r="125" spans="8:10" x14ac:dyDescent="0.25">
      <c r="H125" s="26" t="s">
        <v>131</v>
      </c>
      <c r="I125" s="24" t="s">
        <v>65</v>
      </c>
      <c r="J125" s="20">
        <v>342</v>
      </c>
    </row>
    <row r="126" spans="8:10" x14ac:dyDescent="0.25">
      <c r="H126" s="26" t="s">
        <v>131</v>
      </c>
      <c r="I126" s="24" t="s">
        <v>66</v>
      </c>
      <c r="J126" s="20">
        <v>343</v>
      </c>
    </row>
    <row r="127" spans="8:10" x14ac:dyDescent="0.25">
      <c r="H127" s="26" t="s">
        <v>131</v>
      </c>
      <c r="I127" s="24" t="s">
        <v>67</v>
      </c>
      <c r="J127" s="20">
        <v>344</v>
      </c>
    </row>
    <row r="128" spans="8:10" x14ac:dyDescent="0.25">
      <c r="H128" s="26" t="s">
        <v>131</v>
      </c>
      <c r="I128" s="24" t="s">
        <v>68</v>
      </c>
      <c r="J128" s="20">
        <v>345</v>
      </c>
    </row>
    <row r="129" spans="8:10" x14ac:dyDescent="0.25">
      <c r="H129" s="26" t="s">
        <v>131</v>
      </c>
      <c r="I129" s="24" t="s">
        <v>69</v>
      </c>
      <c r="J129" s="20">
        <v>346</v>
      </c>
    </row>
    <row r="130" spans="8:10" x14ac:dyDescent="0.25">
      <c r="H130" s="26" t="s">
        <v>131</v>
      </c>
      <c r="I130" s="24" t="s">
        <v>70</v>
      </c>
      <c r="J130" s="20">
        <v>347</v>
      </c>
    </row>
    <row r="131" spans="8:10" x14ac:dyDescent="0.25">
      <c r="H131" s="26" t="s">
        <v>131</v>
      </c>
      <c r="I131" s="24" t="s">
        <v>71</v>
      </c>
      <c r="J131" s="20">
        <v>348</v>
      </c>
    </row>
    <row r="132" spans="8:10" x14ac:dyDescent="0.25">
      <c r="H132" s="26" t="s">
        <v>131</v>
      </c>
      <c r="I132" s="24" t="s">
        <v>72</v>
      </c>
      <c r="J132" s="20">
        <v>349</v>
      </c>
    </row>
    <row r="133" spans="8:10" x14ac:dyDescent="0.25">
      <c r="H133" s="26" t="s">
        <v>131</v>
      </c>
      <c r="I133" s="24" t="s">
        <v>73</v>
      </c>
      <c r="J133" s="20">
        <v>350</v>
      </c>
    </row>
    <row r="134" spans="8:10" x14ac:dyDescent="0.25">
      <c r="H134" s="26" t="s">
        <v>131</v>
      </c>
      <c r="I134" s="24" t="s">
        <v>74</v>
      </c>
      <c r="J134" s="20">
        <v>351</v>
      </c>
    </row>
    <row r="135" spans="8:10" x14ac:dyDescent="0.25">
      <c r="H135" s="26" t="s">
        <v>131</v>
      </c>
      <c r="I135" s="24" t="s">
        <v>75</v>
      </c>
      <c r="J135" s="20">
        <v>352</v>
      </c>
    </row>
    <row r="136" spans="8:10" x14ac:dyDescent="0.25">
      <c r="H136" s="26" t="s">
        <v>131</v>
      </c>
      <c r="I136" s="24" t="s">
        <v>76</v>
      </c>
      <c r="J136" s="20">
        <v>353</v>
      </c>
    </row>
    <row r="137" spans="8:10" x14ac:dyDescent="0.25">
      <c r="H137" s="26" t="s">
        <v>131</v>
      </c>
      <c r="I137" s="24" t="s">
        <v>77</v>
      </c>
      <c r="J137" s="20">
        <v>354</v>
      </c>
    </row>
    <row r="138" spans="8:10" x14ac:dyDescent="0.25">
      <c r="H138" s="26" t="s">
        <v>131</v>
      </c>
      <c r="I138" s="24" t="s">
        <v>78</v>
      </c>
      <c r="J138" s="20">
        <v>355</v>
      </c>
    </row>
    <row r="139" spans="8:10" x14ac:dyDescent="0.25">
      <c r="H139" s="26" t="s">
        <v>131</v>
      </c>
      <c r="I139" s="24" t="s">
        <v>79</v>
      </c>
      <c r="J139" s="20">
        <v>356</v>
      </c>
    </row>
    <row r="140" spans="8:10" x14ac:dyDescent="0.25">
      <c r="H140" s="26" t="s">
        <v>131</v>
      </c>
      <c r="I140" s="24" t="s">
        <v>80</v>
      </c>
      <c r="J140" s="20">
        <v>357</v>
      </c>
    </row>
    <row r="141" spans="8:10" x14ac:dyDescent="0.25">
      <c r="H141" s="26" t="s">
        <v>131</v>
      </c>
      <c r="I141" s="24" t="s">
        <v>81</v>
      </c>
      <c r="J141" s="20">
        <v>358</v>
      </c>
    </row>
    <row r="142" spans="8:10" x14ac:dyDescent="0.25">
      <c r="H142" s="26" t="s">
        <v>131</v>
      </c>
      <c r="I142" s="24" t="s">
        <v>82</v>
      </c>
      <c r="J142" s="20">
        <v>359</v>
      </c>
    </row>
    <row r="143" spans="8:10" x14ac:dyDescent="0.25">
      <c r="H143" s="26" t="s">
        <v>131</v>
      </c>
      <c r="I143" s="24" t="s">
        <v>83</v>
      </c>
      <c r="J143" s="20">
        <v>360</v>
      </c>
    </row>
    <row r="144" spans="8:10" x14ac:dyDescent="0.25">
      <c r="H144" s="26" t="s">
        <v>131</v>
      </c>
      <c r="I144" s="24" t="s">
        <v>95</v>
      </c>
      <c r="J144" s="20">
        <v>361</v>
      </c>
    </row>
    <row r="145" spans="8:10" x14ac:dyDescent="0.25">
      <c r="H145" s="26" t="s">
        <v>131</v>
      </c>
      <c r="I145" s="24" t="s">
        <v>84</v>
      </c>
      <c r="J145" s="20">
        <v>362</v>
      </c>
    </row>
    <row r="146" spans="8:10" x14ac:dyDescent="0.25">
      <c r="H146" s="26" t="s">
        <v>131</v>
      </c>
      <c r="I146" s="24" t="s">
        <v>85</v>
      </c>
      <c r="J146" s="20">
        <v>363</v>
      </c>
    </row>
    <row r="147" spans="8:10" x14ac:dyDescent="0.25">
      <c r="H147" s="26" t="s">
        <v>131</v>
      </c>
      <c r="I147" s="24" t="s">
        <v>86</v>
      </c>
      <c r="J147" s="20">
        <v>364</v>
      </c>
    </row>
    <row r="148" spans="8:10" x14ac:dyDescent="0.25">
      <c r="H148" s="26" t="s">
        <v>131</v>
      </c>
      <c r="I148" s="24" t="s">
        <v>87</v>
      </c>
      <c r="J148" s="20">
        <v>365</v>
      </c>
    </row>
    <row r="149" spans="8:10" x14ac:dyDescent="0.25">
      <c r="H149" s="26" t="s">
        <v>131</v>
      </c>
      <c r="I149" s="24" t="s">
        <v>88</v>
      </c>
      <c r="J149" s="20">
        <v>366</v>
      </c>
    </row>
    <row r="150" spans="8:10" x14ac:dyDescent="0.25">
      <c r="H150" s="26" t="s">
        <v>131</v>
      </c>
      <c r="I150" s="24" t="s">
        <v>89</v>
      </c>
      <c r="J150" s="20">
        <v>367</v>
      </c>
    </row>
    <row r="151" spans="8:10" x14ac:dyDescent="0.25">
      <c r="H151" s="26" t="s">
        <v>131</v>
      </c>
      <c r="I151" s="24" t="s">
        <v>90</v>
      </c>
      <c r="J151" s="20">
        <v>368</v>
      </c>
    </row>
    <row r="152" spans="8:10" x14ac:dyDescent="0.25">
      <c r="H152" s="26" t="s">
        <v>132</v>
      </c>
      <c r="I152" s="24" t="s">
        <v>16</v>
      </c>
      <c r="J152" s="20">
        <v>369</v>
      </c>
    </row>
    <row r="153" spans="8:10" x14ac:dyDescent="0.25">
      <c r="H153" s="26" t="s">
        <v>132</v>
      </c>
      <c r="I153" s="24" t="s">
        <v>17</v>
      </c>
      <c r="J153" s="20">
        <v>370</v>
      </c>
    </row>
    <row r="154" spans="8:10" x14ac:dyDescent="0.25">
      <c r="H154" s="26" t="s">
        <v>132</v>
      </c>
      <c r="I154" s="24" t="s">
        <v>18</v>
      </c>
      <c r="J154" s="20">
        <v>371</v>
      </c>
    </row>
    <row r="155" spans="8:10" x14ac:dyDescent="0.25">
      <c r="H155" s="26" t="s">
        <v>132</v>
      </c>
      <c r="I155" s="24" t="s">
        <v>19</v>
      </c>
      <c r="J155" s="20">
        <v>372</v>
      </c>
    </row>
    <row r="156" spans="8:10" x14ac:dyDescent="0.25">
      <c r="H156" s="26" t="s">
        <v>132</v>
      </c>
      <c r="I156" s="24" t="s">
        <v>3</v>
      </c>
      <c r="J156" s="20">
        <v>373</v>
      </c>
    </row>
    <row r="157" spans="8:10" x14ac:dyDescent="0.25">
      <c r="H157" s="26" t="s">
        <v>132</v>
      </c>
      <c r="I157" s="24" t="s">
        <v>20</v>
      </c>
      <c r="J157" s="20">
        <v>374</v>
      </c>
    </row>
    <row r="158" spans="8:10" x14ac:dyDescent="0.25">
      <c r="H158" s="26" t="s">
        <v>132</v>
      </c>
      <c r="I158" s="24" t="s">
        <v>21</v>
      </c>
      <c r="J158" s="20">
        <v>375</v>
      </c>
    </row>
    <row r="159" spans="8:10" x14ac:dyDescent="0.25">
      <c r="H159" s="26" t="s">
        <v>132</v>
      </c>
      <c r="I159" s="24" t="s">
        <v>22</v>
      </c>
      <c r="J159" s="20">
        <v>376</v>
      </c>
    </row>
    <row r="160" spans="8:10" x14ac:dyDescent="0.25">
      <c r="H160" s="26" t="s">
        <v>132</v>
      </c>
      <c r="I160" s="24" t="s">
        <v>23</v>
      </c>
      <c r="J160" s="20">
        <v>377</v>
      </c>
    </row>
    <row r="161" spans="8:10" x14ac:dyDescent="0.25">
      <c r="H161" s="26" t="s">
        <v>132</v>
      </c>
      <c r="I161" s="24" t="s">
        <v>24</v>
      </c>
      <c r="J161" s="20">
        <v>378</v>
      </c>
    </row>
    <row r="162" spans="8:10" x14ac:dyDescent="0.25">
      <c r="H162" s="26" t="s">
        <v>132</v>
      </c>
      <c r="I162" s="24" t="s">
        <v>25</v>
      </c>
      <c r="J162" s="20">
        <v>379</v>
      </c>
    </row>
    <row r="163" spans="8:10" x14ac:dyDescent="0.25">
      <c r="H163" s="26" t="s">
        <v>132</v>
      </c>
      <c r="I163" s="24" t="s">
        <v>26</v>
      </c>
      <c r="J163" s="20">
        <v>380</v>
      </c>
    </row>
    <row r="164" spans="8:10" x14ac:dyDescent="0.25">
      <c r="H164" s="26" t="s">
        <v>132</v>
      </c>
      <c r="I164" s="24" t="s">
        <v>27</v>
      </c>
      <c r="J164" s="20">
        <v>381</v>
      </c>
    </row>
    <row r="165" spans="8:10" x14ac:dyDescent="0.25">
      <c r="H165" s="26" t="s">
        <v>132</v>
      </c>
      <c r="I165" s="24" t="s">
        <v>28</v>
      </c>
      <c r="J165" s="20">
        <v>382</v>
      </c>
    </row>
    <row r="166" spans="8:10" x14ac:dyDescent="0.25">
      <c r="H166" s="26" t="s">
        <v>132</v>
      </c>
      <c r="I166" s="24" t="s">
        <v>29</v>
      </c>
      <c r="J166" s="20">
        <v>383</v>
      </c>
    </row>
    <row r="167" spans="8:10" x14ac:dyDescent="0.25">
      <c r="H167" s="26" t="s">
        <v>132</v>
      </c>
      <c r="I167" s="24" t="s">
        <v>30</v>
      </c>
      <c r="J167" s="20">
        <v>384</v>
      </c>
    </row>
    <row r="168" spans="8:10" x14ac:dyDescent="0.25">
      <c r="H168" s="26" t="s">
        <v>132</v>
      </c>
      <c r="I168" s="24" t="s">
        <v>31</v>
      </c>
      <c r="J168" s="20">
        <v>385</v>
      </c>
    </row>
    <row r="169" spans="8:10" x14ac:dyDescent="0.25">
      <c r="H169" s="26" t="s">
        <v>132</v>
      </c>
      <c r="I169" s="24" t="s">
        <v>32</v>
      </c>
      <c r="J169" s="20">
        <v>386</v>
      </c>
    </row>
    <row r="170" spans="8:10" x14ac:dyDescent="0.25">
      <c r="H170" s="26" t="s">
        <v>132</v>
      </c>
      <c r="I170" s="24" t="s">
        <v>33</v>
      </c>
      <c r="J170" s="20">
        <v>387</v>
      </c>
    </row>
    <row r="171" spans="8:10" x14ac:dyDescent="0.25">
      <c r="H171" s="26" t="s">
        <v>132</v>
      </c>
      <c r="I171" s="24" t="s">
        <v>34</v>
      </c>
      <c r="J171" s="20">
        <v>388</v>
      </c>
    </row>
    <row r="172" spans="8:10" x14ac:dyDescent="0.25">
      <c r="H172" s="26" t="s">
        <v>132</v>
      </c>
      <c r="I172" s="24" t="s">
        <v>35</v>
      </c>
      <c r="J172" s="20">
        <v>389</v>
      </c>
    </row>
    <row r="173" spans="8:10" x14ac:dyDescent="0.25">
      <c r="H173" s="26" t="s">
        <v>132</v>
      </c>
      <c r="I173" s="24" t="s">
        <v>60</v>
      </c>
      <c r="J173" s="20">
        <v>390</v>
      </c>
    </row>
    <row r="174" spans="8:10" x14ac:dyDescent="0.25">
      <c r="H174" s="26" t="s">
        <v>132</v>
      </c>
      <c r="I174" s="24" t="s">
        <v>61</v>
      </c>
      <c r="J174" s="20">
        <v>391</v>
      </c>
    </row>
    <row r="175" spans="8:10" x14ac:dyDescent="0.25">
      <c r="H175" s="26" t="s">
        <v>132</v>
      </c>
      <c r="I175" s="24" t="s">
        <v>62</v>
      </c>
      <c r="J175" s="20">
        <v>392</v>
      </c>
    </row>
    <row r="176" spans="8:10" x14ac:dyDescent="0.25">
      <c r="H176" s="26" t="s">
        <v>132</v>
      </c>
      <c r="I176" s="24" t="s">
        <v>63</v>
      </c>
      <c r="J176" s="20">
        <v>393</v>
      </c>
    </row>
    <row r="177" spans="8:10" x14ac:dyDescent="0.25">
      <c r="H177" s="26" t="s">
        <v>132</v>
      </c>
      <c r="I177" s="24" t="s">
        <v>64</v>
      </c>
      <c r="J177" s="20">
        <v>394</v>
      </c>
    </row>
    <row r="178" spans="8:10" x14ac:dyDescent="0.25">
      <c r="H178" s="26" t="s">
        <v>132</v>
      </c>
      <c r="I178" s="24" t="s">
        <v>65</v>
      </c>
      <c r="J178" s="20">
        <v>395</v>
      </c>
    </row>
    <row r="179" spans="8:10" x14ac:dyDescent="0.25">
      <c r="H179" s="26" t="s">
        <v>132</v>
      </c>
      <c r="I179" s="24" t="s">
        <v>66</v>
      </c>
      <c r="J179" s="20">
        <v>396</v>
      </c>
    </row>
    <row r="180" spans="8:10" x14ac:dyDescent="0.25">
      <c r="H180" s="26" t="s">
        <v>132</v>
      </c>
      <c r="I180" s="24" t="s">
        <v>67</v>
      </c>
      <c r="J180" s="20">
        <v>397</v>
      </c>
    </row>
    <row r="181" spans="8:10" x14ac:dyDescent="0.25">
      <c r="H181" s="26" t="s">
        <v>132</v>
      </c>
      <c r="I181" s="24" t="s">
        <v>68</v>
      </c>
      <c r="J181" s="20">
        <v>398</v>
      </c>
    </row>
    <row r="182" spans="8:10" x14ac:dyDescent="0.25">
      <c r="H182" s="26" t="s">
        <v>132</v>
      </c>
      <c r="I182" s="24" t="s">
        <v>69</v>
      </c>
      <c r="J182" s="20">
        <v>399</v>
      </c>
    </row>
    <row r="183" spans="8:10" x14ac:dyDescent="0.25">
      <c r="H183" s="26" t="s">
        <v>132</v>
      </c>
      <c r="I183" s="24" t="s">
        <v>70</v>
      </c>
      <c r="J183" s="20">
        <v>400</v>
      </c>
    </row>
    <row r="184" spans="8:10" x14ac:dyDescent="0.25">
      <c r="H184" s="26" t="s">
        <v>132</v>
      </c>
      <c r="I184" s="24" t="s">
        <v>71</v>
      </c>
      <c r="J184" s="20">
        <v>401</v>
      </c>
    </row>
    <row r="185" spans="8:10" x14ac:dyDescent="0.25">
      <c r="H185" s="26" t="s">
        <v>132</v>
      </c>
      <c r="I185" s="24" t="s">
        <v>72</v>
      </c>
      <c r="J185" s="20">
        <v>402</v>
      </c>
    </row>
    <row r="186" spans="8:10" x14ac:dyDescent="0.25">
      <c r="H186" s="26" t="s">
        <v>132</v>
      </c>
      <c r="I186" s="24" t="s">
        <v>73</v>
      </c>
      <c r="J186" s="20">
        <v>403</v>
      </c>
    </row>
    <row r="187" spans="8:10" x14ac:dyDescent="0.25">
      <c r="H187" s="26" t="s">
        <v>132</v>
      </c>
      <c r="I187" s="24" t="s">
        <v>74</v>
      </c>
      <c r="J187" s="20">
        <v>404</v>
      </c>
    </row>
    <row r="188" spans="8:10" x14ac:dyDescent="0.25">
      <c r="H188" s="26" t="s">
        <v>132</v>
      </c>
      <c r="I188" s="24" t="s">
        <v>75</v>
      </c>
      <c r="J188" s="20">
        <v>405</v>
      </c>
    </row>
    <row r="189" spans="8:10" x14ac:dyDescent="0.25">
      <c r="H189" s="26" t="s">
        <v>132</v>
      </c>
      <c r="I189" s="24" t="s">
        <v>76</v>
      </c>
      <c r="J189" s="20">
        <v>406</v>
      </c>
    </row>
    <row r="190" spans="8:10" x14ac:dyDescent="0.25">
      <c r="H190" s="26" t="s">
        <v>132</v>
      </c>
      <c r="I190" s="24" t="s">
        <v>77</v>
      </c>
      <c r="J190" s="20">
        <v>407</v>
      </c>
    </row>
    <row r="191" spans="8:10" x14ac:dyDescent="0.25">
      <c r="H191" s="26" t="s">
        <v>132</v>
      </c>
      <c r="I191" s="24" t="s">
        <v>78</v>
      </c>
      <c r="J191" s="20">
        <v>408</v>
      </c>
    </row>
    <row r="192" spans="8:10" x14ac:dyDescent="0.25">
      <c r="H192" s="26" t="s">
        <v>132</v>
      </c>
      <c r="I192" s="24" t="s">
        <v>79</v>
      </c>
      <c r="J192" s="20">
        <v>409</v>
      </c>
    </row>
    <row r="193" spans="8:10" x14ac:dyDescent="0.25">
      <c r="H193" s="26" t="s">
        <v>132</v>
      </c>
      <c r="I193" s="24" t="s">
        <v>80</v>
      </c>
      <c r="J193" s="20">
        <v>410</v>
      </c>
    </row>
    <row r="194" spans="8:10" x14ac:dyDescent="0.25">
      <c r="H194" s="26" t="s">
        <v>132</v>
      </c>
      <c r="I194" s="24" t="s">
        <v>81</v>
      </c>
      <c r="J194" s="20">
        <v>411</v>
      </c>
    </row>
    <row r="195" spans="8:10" x14ac:dyDescent="0.25">
      <c r="H195" s="26" t="s">
        <v>132</v>
      </c>
      <c r="I195" s="24" t="s">
        <v>82</v>
      </c>
      <c r="J195" s="20">
        <v>412</v>
      </c>
    </row>
    <row r="196" spans="8:10" x14ac:dyDescent="0.25">
      <c r="H196" s="26" t="s">
        <v>132</v>
      </c>
      <c r="I196" s="24" t="s">
        <v>83</v>
      </c>
      <c r="J196" s="20">
        <v>413</v>
      </c>
    </row>
    <row r="197" spans="8:10" x14ac:dyDescent="0.25">
      <c r="H197" s="26" t="s">
        <v>132</v>
      </c>
      <c r="I197" s="24" t="s">
        <v>95</v>
      </c>
      <c r="J197" s="20">
        <v>414</v>
      </c>
    </row>
    <row r="198" spans="8:10" x14ac:dyDescent="0.25">
      <c r="H198" s="26" t="s">
        <v>132</v>
      </c>
      <c r="I198" s="24" t="s">
        <v>84</v>
      </c>
      <c r="J198" s="20">
        <v>415</v>
      </c>
    </row>
    <row r="199" spans="8:10" x14ac:dyDescent="0.25">
      <c r="H199" s="26" t="s">
        <v>132</v>
      </c>
      <c r="I199" s="24" t="s">
        <v>85</v>
      </c>
      <c r="J199" s="20">
        <v>416</v>
      </c>
    </row>
    <row r="200" spans="8:10" x14ac:dyDescent="0.25">
      <c r="H200" s="26" t="s">
        <v>132</v>
      </c>
      <c r="I200" s="24" t="s">
        <v>86</v>
      </c>
      <c r="J200" s="20">
        <v>417</v>
      </c>
    </row>
    <row r="201" spans="8:10" x14ac:dyDescent="0.25">
      <c r="H201" s="26" t="s">
        <v>132</v>
      </c>
      <c r="I201" s="24" t="s">
        <v>87</v>
      </c>
      <c r="J201" s="20">
        <v>418</v>
      </c>
    </row>
    <row r="202" spans="8:10" x14ac:dyDescent="0.25">
      <c r="H202" s="26" t="s">
        <v>132</v>
      </c>
      <c r="I202" s="24" t="s">
        <v>88</v>
      </c>
      <c r="J202" s="20">
        <v>419</v>
      </c>
    </row>
    <row r="203" spans="8:10" x14ac:dyDescent="0.25">
      <c r="H203" s="26" t="s">
        <v>132</v>
      </c>
      <c r="I203" s="24" t="s">
        <v>89</v>
      </c>
      <c r="J203" s="20">
        <v>420</v>
      </c>
    </row>
    <row r="204" spans="8:10" x14ac:dyDescent="0.25">
      <c r="H204" s="27" t="s">
        <v>132</v>
      </c>
      <c r="I204" s="25" t="s">
        <v>90</v>
      </c>
      <c r="J204" s="21">
        <v>421</v>
      </c>
    </row>
  </sheetData>
  <dataValidations count="1">
    <dataValidation type="list" allowBlank="1" showInputMessage="1" showErrorMessage="1" sqref="B2" xr:uid="{2B66CC6E-7BFB-4BFF-B585-72D34467E70E}">
      <formula1>$E$11:$E$13</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26</vt:i4>
      </vt:variant>
    </vt:vector>
  </HeadingPairs>
  <TitlesOfParts>
    <vt:vector size="28" baseType="lpstr">
      <vt:lpstr>Trend</vt:lpstr>
      <vt:lpstr>MarginStuff</vt:lpstr>
      <vt:lpstr>apiEnvironment</vt:lpstr>
      <vt:lpstr>baseUrl</vt:lpstr>
      <vt:lpstr>categories</vt:lpstr>
      <vt:lpstr>categoriesUrl</vt:lpstr>
      <vt:lpstr>categoriesWithId</vt:lpstr>
      <vt:lpstr>category</vt:lpstr>
      <vt:lpstr>devBaseUrl</vt:lpstr>
      <vt:lpstr>devSecretWord</vt:lpstr>
      <vt:lpstr>devTokenUrl</vt:lpstr>
      <vt:lpstr>factorsUrl</vt:lpstr>
      <vt:lpstr>keyDataTimeOutSeconds</vt:lpstr>
      <vt:lpstr>prodBaseUrl</vt:lpstr>
      <vt:lpstr>prodSecretWord</vt:lpstr>
      <vt:lpstr>prodTokenUrl</vt:lpstr>
      <vt:lpstr>result</vt:lpstr>
      <vt:lpstr>secretWord</vt:lpstr>
      <vt:lpstr>selectedCategory</vt:lpstr>
      <vt:lpstr>status</vt:lpstr>
      <vt:lpstr>timeStamp</vt:lpstr>
      <vt:lpstr>tokenUrl</vt:lpstr>
      <vt:lpstr>trendType</vt:lpstr>
      <vt:lpstr>trendTypes</vt:lpstr>
      <vt:lpstr>uatBaseUrl</vt:lpstr>
      <vt:lpstr>uatSecretWord</vt:lpstr>
      <vt:lpstr>uatTokenUrl</vt:lpstr>
      <vt:lpstr>versionDate</vt:lpstr>
    </vt:vector>
  </TitlesOfParts>
  <Company>JKP Application Development Services, PTC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MSForms Treeview</dc:title>
  <dc:subject>Treeview in VBA</dc:subject>
  <dc:creator>Jan Karel Pieterse, Peter Thornton</dc:creator>
  <dc:description>Authors:  JKP Application Development Services, info@jkp-ads.com, http://www.jkp-ads.com
Peter Thornton, pmbthornton@gmail.com
(c)2013-2015, all rights reserved to the authors
You are free to use and adapt the code in these modules for your own purposes and to distribute as part of your overall project.
However all headers and copyright notices should remain intact.
You may not publish the code in these modules, for example on a web site, without the explicit consent of the authors.</dc:description>
  <cp:lastModifiedBy>Shenghit Seth - Princeton-MRAm</cp:lastModifiedBy>
  <dcterms:created xsi:type="dcterms:W3CDTF">2013-02-01T15:56:31Z</dcterms:created>
  <dcterms:modified xsi:type="dcterms:W3CDTF">2021-11-01T20:17:29Z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safePathAndName">
    <vt:lpwstr>C:\Users\piete\Documents\TreeViewUserform\TreeView 026_2.xlsm</vt:lpwstr>
  </property>
  <property fmtid="{D5CDD505-2E9C-101B-9397-08002B2CF9AE}" pid="3" name="{A44787D4-0540-4523-9961-78E4036D8C6D}">
    <vt:lpwstr>{C07C6295-89D9-473F-AA25-8357F7AB11E1}</vt:lpwstr>
  </property>
  <property fmtid="{D5CDD505-2E9C-101B-9397-08002B2CF9AE}" pid="4" name="MSIP_Label_c6dace53-bb26-49c1-b263-21baa9bbd689_Enabled">
    <vt:lpwstr>true</vt:lpwstr>
  </property>
  <property fmtid="{D5CDD505-2E9C-101B-9397-08002B2CF9AE}" pid="5" name="MSIP_Label_c6dace53-bb26-49c1-b263-21baa9bbd689_SetDate">
    <vt:lpwstr>2021-08-23T13:24:28Z</vt:lpwstr>
  </property>
  <property fmtid="{D5CDD505-2E9C-101B-9397-08002B2CF9AE}" pid="6" name="MSIP_Label_c6dace53-bb26-49c1-b263-21baa9bbd689_Method">
    <vt:lpwstr>Privileged</vt:lpwstr>
  </property>
  <property fmtid="{D5CDD505-2E9C-101B-9397-08002B2CF9AE}" pid="7" name="MSIP_Label_c6dace53-bb26-49c1-b263-21baa9bbd689_Name">
    <vt:lpwstr>c6dace53-bb26-49c1-b263-21baa9bbd689</vt:lpwstr>
  </property>
  <property fmtid="{D5CDD505-2E9C-101B-9397-08002B2CF9AE}" pid="8" name="MSIP_Label_c6dace53-bb26-49c1-b263-21baa9bbd689_SiteId">
    <vt:lpwstr>582259a1-dcaa-4cca-b1cf-e60d3f045ecd</vt:lpwstr>
  </property>
  <property fmtid="{D5CDD505-2E9C-101B-9397-08002B2CF9AE}" pid="9" name="MSIP_Label_c6dace53-bb26-49c1-b263-21baa9bbd689_ActionId">
    <vt:lpwstr>b15061e3-d404-4ed8-87dc-8998fce8d528</vt:lpwstr>
  </property>
  <property fmtid="{D5CDD505-2E9C-101B-9397-08002B2CF9AE}" pid="10" name="MSIP_Label_c6dace53-bb26-49c1-b263-21baa9bbd689_ContentBits">
    <vt:lpwstr>0</vt:lpwstr>
  </property>
</Properties>
</file>